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P:\ANDREY\Relatórios\C6 Empresas\02. Operacional\03. Fechamentos Mensais\02_Fechamento Operacional\2025\"/>
    </mc:Choice>
  </mc:AlternateContent>
  <xr:revisionPtr revIDLastSave="0" documentId="13_ncr:1_{1482BB2D-11EF-45F5-A233-8C5B36846639}" xr6:coauthVersionLast="47" xr6:coauthVersionMax="47" xr10:uidLastSave="{00000000-0000-0000-0000-000000000000}"/>
  <bookViews>
    <workbookView xWindow="19080" yWindow="-120" windowWidth="21840" windowHeight="13140" activeTab="3" xr2:uid="{E20ACF50-0E84-4B7E-B530-D4185721C764}"/>
  </bookViews>
  <sheets>
    <sheet name="Abertura" sheetId="1" r:id="rId1"/>
    <sheet name="Qualificaçao" sheetId="3" r:id="rId2"/>
    <sheet name="Comiss_Abertura" sheetId="2" r:id="rId3"/>
    <sheet name="Comiss_QLF" sheetId="4" r:id="rId4"/>
    <sheet name="C6 PAY" sheetId="7" r:id="rId5"/>
  </sheets>
  <externalReferences>
    <externalReference r:id="rId6"/>
  </externalReferences>
  <definedNames>
    <definedName name="_xlnm._FilterDatabase" localSheetId="0" hidden="1">Abertura!$A$1:$H$1259</definedName>
    <definedName name="_xlnm._FilterDatabase" localSheetId="4" hidden="1">'C6 PAY'!$A$1:$O$1</definedName>
    <definedName name="_xlnm._FilterDatabase" localSheetId="2" hidden="1">Comiss_Abertura!$A$1:$K$21</definedName>
    <definedName name="_xlnm._FilterDatabase" localSheetId="3" hidden="1">Comiss_QLF!$A$1:$P$11</definedName>
    <definedName name="_xlnm._FilterDatabase" localSheetId="1" hidden="1">Qualificaçao!$A$1:$M$1002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M2" i="7"/>
  <c r="I2" i="7"/>
  <c r="N2" i="4"/>
  <c r="N8" i="4"/>
  <c r="N5" i="4"/>
  <c r="N3" i="4"/>
  <c r="N7" i="4"/>
  <c r="N4" i="4"/>
  <c r="N9" i="4"/>
  <c r="N10" i="4"/>
  <c r="N11" i="4"/>
  <c r="N6" i="4"/>
  <c r="O6" i="4"/>
  <c r="O8" i="4"/>
  <c r="O5" i="4"/>
  <c r="O3" i="4"/>
  <c r="O7" i="4"/>
  <c r="O4" i="4"/>
  <c r="O9" i="4"/>
  <c r="O10" i="4"/>
  <c r="O11" i="4"/>
  <c r="O2" i="4"/>
  <c r="D6" i="4"/>
  <c r="J6" i="4"/>
  <c r="M6" i="4" s="1"/>
  <c r="H6" i="4"/>
  <c r="J2" i="4"/>
  <c r="M2" i="4" s="1"/>
  <c r="J8" i="4"/>
  <c r="M8" i="4" s="1"/>
  <c r="J5" i="4"/>
  <c r="J3" i="4"/>
  <c r="M3" i="4" s="1"/>
  <c r="J7" i="4"/>
  <c r="M7" i="4" s="1"/>
  <c r="J4" i="4"/>
  <c r="M4" i="4" s="1"/>
  <c r="J9" i="4"/>
  <c r="M9" i="4" s="1"/>
  <c r="J10" i="4"/>
  <c r="M10" i="4" s="1"/>
  <c r="J11" i="4"/>
  <c r="M11" i="4" s="1"/>
  <c r="D25" i="2"/>
  <c r="D24" i="2"/>
  <c r="D23" i="2"/>
  <c r="I6" i="4" l="1"/>
  <c r="L6" i="4" s="1"/>
  <c r="P6" i="4" l="1"/>
  <c r="I3" i="2" l="1"/>
  <c r="I2" i="2"/>
  <c r="D31" i="2"/>
  <c r="H31" i="2" s="1"/>
  <c r="J31" i="2" s="1"/>
  <c r="E14" i="2"/>
  <c r="E8" i="2"/>
  <c r="E16" i="2"/>
  <c r="E13" i="2"/>
  <c r="E15" i="2"/>
  <c r="E9" i="2"/>
  <c r="E7" i="2"/>
  <c r="E17" i="2"/>
  <c r="E3" i="2"/>
  <c r="E19" i="2"/>
  <c r="E12" i="2"/>
  <c r="E4" i="2"/>
  <c r="E2" i="2"/>
  <c r="E18" i="2"/>
  <c r="E20" i="2"/>
  <c r="E21" i="2"/>
  <c r="E11" i="2"/>
  <c r="E10" i="2"/>
  <c r="E6" i="2"/>
  <c r="E5" i="2"/>
  <c r="D27" i="2"/>
  <c r="D28" i="2"/>
  <c r="D29" i="2"/>
  <c r="D5" i="2"/>
  <c r="D14" i="2"/>
  <c r="D8" i="2"/>
  <c r="D16" i="2"/>
  <c r="F5" i="2" l="1"/>
  <c r="H5" i="2" s="1"/>
  <c r="J5" i="2" s="1"/>
  <c r="F14" i="2"/>
  <c r="G14" i="2" s="1"/>
  <c r="F8" i="2"/>
  <c r="H8" i="2" s="1"/>
  <c r="J8" i="2" s="1"/>
  <c r="F16" i="2"/>
  <c r="H16" i="2" s="1"/>
  <c r="J16" i="2" s="1"/>
  <c r="G5" i="2"/>
  <c r="G8" i="2" l="1"/>
  <c r="G16" i="2"/>
  <c r="H14" i="2"/>
  <c r="J14" i="2" s="1"/>
  <c r="H4" i="4"/>
  <c r="H11" i="4"/>
  <c r="H3" i="4"/>
  <c r="H8" i="4"/>
  <c r="H9" i="4"/>
  <c r="D4" i="4"/>
  <c r="D11" i="4"/>
  <c r="D3" i="4"/>
  <c r="D8" i="4"/>
  <c r="D9" i="4"/>
  <c r="D7" i="4"/>
  <c r="D5" i="4"/>
  <c r="D10" i="4"/>
  <c r="I11" i="4" l="1"/>
  <c r="L11" i="4" s="1"/>
  <c r="I9" i="4"/>
  <c r="L9" i="4" s="1"/>
  <c r="I4" i="4"/>
  <c r="L4" i="4" s="1"/>
  <c r="I8" i="4"/>
  <c r="L8" i="4" s="1"/>
  <c r="I3" i="4"/>
  <c r="L3" i="4" s="1"/>
  <c r="H28" i="2"/>
  <c r="J28" i="2" s="1"/>
  <c r="H27" i="2"/>
  <c r="J27" i="2" s="1"/>
  <c r="H29" i="2"/>
  <c r="J29" i="2" s="1"/>
  <c r="D30" i="2"/>
  <c r="H30" i="2" s="1"/>
  <c r="J30" i="2" s="1"/>
  <c r="D12" i="2"/>
  <c r="F12" i="2" s="1"/>
  <c r="D21" i="2"/>
  <c r="F21" i="2" s="1"/>
  <c r="D4" i="2"/>
  <c r="F4" i="2" s="1"/>
  <c r="H4" i="2" s="1"/>
  <c r="J4" i="2" s="1"/>
  <c r="D11" i="2"/>
  <c r="F11" i="2" s="1"/>
  <c r="H11" i="2" s="1"/>
  <c r="J11" i="2" s="1"/>
  <c r="D7" i="2"/>
  <c r="F7" i="2" s="1"/>
  <c r="D9" i="2"/>
  <c r="F9" i="2" s="1"/>
  <c r="H9" i="2" s="1"/>
  <c r="J9" i="2" s="1"/>
  <c r="D10" i="2"/>
  <c r="F10" i="2" s="1"/>
  <c r="H10" i="2" s="1"/>
  <c r="J10" i="2" s="1"/>
  <c r="D6" i="2"/>
  <c r="D19" i="2"/>
  <c r="D2" i="2"/>
  <c r="D3" i="2"/>
  <c r="D17" i="2"/>
  <c r="D18" i="2"/>
  <c r="D15" i="2"/>
  <c r="D13" i="2"/>
  <c r="P11" i="4" l="1"/>
  <c r="H21" i="2"/>
  <c r="J21" i="2" s="1"/>
  <c r="P9" i="4"/>
  <c r="P8" i="4"/>
  <c r="H7" i="2"/>
  <c r="J7" i="2" s="1"/>
  <c r="G7" i="2"/>
  <c r="H12" i="2"/>
  <c r="J12" i="2" s="1"/>
  <c r="G12" i="2"/>
  <c r="G11" i="2"/>
  <c r="G10" i="2"/>
  <c r="G4" i="2"/>
  <c r="G9" i="2"/>
  <c r="G21" i="2"/>
  <c r="F6" i="2"/>
  <c r="F13" i="2"/>
  <c r="F18" i="2"/>
  <c r="F19" i="2"/>
  <c r="H19" i="2" s="1"/>
  <c r="F17" i="2"/>
  <c r="F3" i="2"/>
  <c r="F2" i="2"/>
  <c r="P4" i="4" l="1"/>
  <c r="P3" i="4"/>
  <c r="G6" i="2"/>
  <c r="H6" i="2"/>
  <c r="J6" i="2" s="1"/>
  <c r="K3" i="7"/>
  <c r="M5" i="4"/>
  <c r="L2" i="7"/>
  <c r="H5" i="4" l="1"/>
  <c r="I5" i="4" l="1"/>
  <c r="L5" i="4" s="1"/>
  <c r="P5" i="4" l="1"/>
  <c r="F15" i="2"/>
  <c r="H7" i="4"/>
  <c r="G2" i="2" l="1"/>
  <c r="H2" i="2"/>
  <c r="J2" i="2" s="1"/>
  <c r="G18" i="2"/>
  <c r="H18" i="2"/>
  <c r="J18" i="2" s="1"/>
  <c r="H13" i="2"/>
  <c r="J13" i="2" s="1"/>
  <c r="G13" i="2"/>
  <c r="G3" i="2"/>
  <c r="H3" i="2"/>
  <c r="J3" i="2" s="1"/>
  <c r="J19" i="2"/>
  <c r="G19" i="2"/>
  <c r="G15" i="2"/>
  <c r="H15" i="2"/>
  <c r="J15" i="2" s="1"/>
  <c r="G17" i="2"/>
  <c r="H17" i="2"/>
  <c r="J17" i="2" s="1"/>
  <c r="H2" i="4"/>
  <c r="G2" i="7" l="1"/>
  <c r="D2" i="7"/>
  <c r="H10" i="4"/>
  <c r="I10" i="4" s="1"/>
  <c r="L10" i="4" s="1"/>
  <c r="P10" i="4" l="1"/>
  <c r="H2" i="7"/>
  <c r="I7" i="4"/>
  <c r="L7" i="4" s="1"/>
  <c r="K2" i="7" l="1"/>
  <c r="P7" i="4"/>
  <c r="O2" i="7" l="1"/>
  <c r="D2" i="4" l="1"/>
  <c r="I2" i="4" s="1"/>
  <c r="L2" i="4" s="1"/>
  <c r="F20" i="2"/>
  <c r="G20" i="2" l="1"/>
  <c r="H20" i="2"/>
  <c r="J20" i="2" s="1"/>
  <c r="P2" i="4" l="1"/>
</calcChain>
</file>

<file path=xl/sharedStrings.xml><?xml version="1.0" encoding="utf-8"?>
<sst xmlns="http://schemas.openxmlformats.org/spreadsheetml/2006/main" count="12459" uniqueCount="4141">
  <si>
    <t>CD_CPF_CNPJ_CLIENTE</t>
  </si>
  <si>
    <t>NOME_CLIENTE</t>
  </si>
  <si>
    <t>DT_CONTA_CRIADA</t>
  </si>
  <si>
    <t>DT_ENCER_CC</t>
  </si>
  <si>
    <t>STATUS_CC</t>
  </si>
  <si>
    <t>CONSULTOR</t>
  </si>
  <si>
    <t>Miriam Helena Franzoi</t>
  </si>
  <si>
    <t>Julio Gonçalves Zarate Vilchez</t>
  </si>
  <si>
    <t>LIBERADA</t>
  </si>
  <si>
    <t>DESATIVADA</t>
  </si>
  <si>
    <t>COMISSÃO</t>
  </si>
  <si>
    <t>RAZAO_SOCIAL</t>
  </si>
  <si>
    <t>NOME_CONSULTOR</t>
  </si>
  <si>
    <t>CRITERIOS_ATINGIDOS_COMISS</t>
  </si>
  <si>
    <t>PREVISAO_COMISS</t>
  </si>
  <si>
    <t>Consultor</t>
  </si>
  <si>
    <t>Receita_Gerada</t>
  </si>
  <si>
    <t>TIPO_PESSOA</t>
  </si>
  <si>
    <t>Valida</t>
  </si>
  <si>
    <t>Yuri Costa Cataia de Sales</t>
  </si>
  <si>
    <t>ICM</t>
  </si>
  <si>
    <t>CASH IN: 2 | DOMICILIO: 0 | SALDO MEDIO: 3 | SPENDING: 0 | CONTA GLOBAL: 0</t>
  </si>
  <si>
    <t>CASH IN: 1 | DOMICILIO: 0 | SALDO MEDIO: 3 | SPENDING: 0 | CONTA GLOBAL: 0</t>
  </si>
  <si>
    <t>CASH IN: 1 | DOMICILIO: 0 | SALDO MEDIO: 2 | SPENDING: 0 | CONTA GLOBAL: 0</t>
  </si>
  <si>
    <t>CASH IN: 2 | DOMICILIO: 0 | SALDO MEDIO: 1 | SPENDING: 0 | CONTA GLOBAL: 0</t>
  </si>
  <si>
    <t>CASH IN: 0 | DOMICILIO: 0 | SALDO MEDIO: 1 | SPENDING: 0 | CONTA GLOBAL: 0</t>
  </si>
  <si>
    <t>CASH IN: 1 | DOMICILIO: 0 | SALDO MEDIO: 1 | SPENDING: 0 | CONTA GLOBAL: 0</t>
  </si>
  <si>
    <t>CASH IN: 3 | DOMICILIO: 0 | SALDO MEDIO: 4 | SPENDING: 0 | CONTA GLOBAL: 0</t>
  </si>
  <si>
    <t>CASH IN: 2 | DOMICILIO: 0 | SALDO MEDIO: 4 | SPENDING: 0 | CONTA GLOBAL: 0</t>
  </si>
  <si>
    <t>CASH IN: 1 | DOMICILIO: 0 | SALDO MEDIO: 0 | SPENDING: 0 | CONTA GLOBAL: 0</t>
  </si>
  <si>
    <t>CASH IN: 2 | DOMICILIO: 0 | SALDO MEDIO: 0 | SPENDING: 0 | CONTA GLOBAL: 0</t>
  </si>
  <si>
    <t>CASH IN: 0 | DOMICILIO: 0 | SALDO MEDIO: 2 | SPENDING: 0 | CONTA GLOBAL: 0</t>
  </si>
  <si>
    <t>CASH IN: 3 | DOMICILIO: 0 | SALDO MEDIO: 3 | SPENDING: 0 | CONTA GLOBAL: 0</t>
  </si>
  <si>
    <t>CASH IN: 3 | DOMICILIO: 0 | SALDO MEDIO: 0 | SPENDING: 0 | CONTA GLOBAL: 0</t>
  </si>
  <si>
    <t>CASH IN: 0 | DOMICILIO: 0 | SALDO MEDIO: 3 | SPENDING: 0 | CONTA GLOBAL: 0</t>
  </si>
  <si>
    <t>CASH IN: 4 | DOMICILIO: 0 | SALDO MEDIO: 4 | SPENDING: 0 | CONTA GLOBAL: 0</t>
  </si>
  <si>
    <t>CASH IN: 4 | DOMICILIO: 0 | SALDO MEDIO: 1 | SPENDING: 0 | CONTA GLOBAL: 0</t>
  </si>
  <si>
    <t>CASH IN: 3 | DOMICILIO: 0 | SALDO MEDIO: 1 | SPENDING: 0 | CONTA GLOBAL: 0</t>
  </si>
  <si>
    <t>CASH IN: 4 | DOMICILIO: 0 | SALDO MEDIO: 0 | SPENDING: 0 | CONTA GLOBAL: 0</t>
  </si>
  <si>
    <t>CASH IN: 0 | DOMICILIO: 0 | SALDO MEDIO: 4 | SPENDING: 0 | CONTA GLOBAL: 0</t>
  </si>
  <si>
    <t>CASH IN: 4 | DOMICILIO: 0 | SALDO MEDIO: 2 | SPENDING: 0 | CONTA GLOBAL: 0</t>
  </si>
  <si>
    <t>CASH IN: 2 | DOMICILIO: 0 | SALDO MEDIO: 2 | SPENDING: 0 | CONTA GLOBAL: 0</t>
  </si>
  <si>
    <t>CASH IN: 3 | DOMICILIO: 0 | SALDO MEDIO: 2 | SPENDING: 0 | CONTA GLOBAL: 0</t>
  </si>
  <si>
    <t>CASH IN: 1 | DOMICILIO: 0 | SALDO MEDIO: 4 | SPENDING: 0 | CONTA GLOBAL: 0</t>
  </si>
  <si>
    <t>CASH IN: 4 | DOMICILIO: 0 | SALDO MEDIO: 3 | SPENDING: 0 | CONTA GLOBAL: 0</t>
  </si>
  <si>
    <t>SALDO_MEDIO</t>
  </si>
  <si>
    <t>Meta</t>
  </si>
  <si>
    <t>APURACAO_COMISS</t>
  </si>
  <si>
    <t>JA_PAGO_COMISS</t>
  </si>
  <si>
    <t>MULTIPLICADOR</t>
  </si>
  <si>
    <t>STATUS</t>
  </si>
  <si>
    <t>STATUS_FINAL</t>
  </si>
  <si>
    <t>QUALIFICADO</t>
  </si>
  <si>
    <t>QLF_Validas</t>
  </si>
  <si>
    <t>Luiz Augusto Bucharelli da Graça Leite</t>
  </si>
  <si>
    <t>Total Aprovadas</t>
  </si>
  <si>
    <t>VÁLIDAS</t>
  </si>
  <si>
    <t>Murilo Miguel de Mattos Ozorio</t>
  </si>
  <si>
    <t>Vinicius Araujo Silva</t>
  </si>
  <si>
    <t>Outros</t>
  </si>
  <si>
    <t>C6 PAY</t>
  </si>
  <si>
    <t>PJ</t>
  </si>
  <si>
    <t>CASH IN: 1 | DOMICILIO: 0 | SALDO MEDIO: 0 | SPENDING: 1 | CONTA GLOBAL: 0</t>
  </si>
  <si>
    <t>SEM CONTATO</t>
  </si>
  <si>
    <t>MEI</t>
  </si>
  <si>
    <t>Sofia Helena Vieira Domingues</t>
  </si>
  <si>
    <t>Isaac Miguel da Silva Campos</t>
  </si>
  <si>
    <t>C6_Pay Vendas</t>
  </si>
  <si>
    <t>C6Pay_Meta</t>
  </si>
  <si>
    <t>ICM_TOTAL</t>
  </si>
  <si>
    <t>Meta_Instaladas</t>
  </si>
  <si>
    <t>Vendas</t>
  </si>
  <si>
    <t>Instaladas</t>
  </si>
  <si>
    <t>Qualificadas</t>
  </si>
  <si>
    <t>Meta_Qualificadas</t>
  </si>
  <si>
    <t>ICM_Instaladas</t>
  </si>
  <si>
    <t>ICM_Qualificadas</t>
  </si>
  <si>
    <t>ICM_Quali</t>
  </si>
  <si>
    <t>ICM_C6Pay</t>
  </si>
  <si>
    <t>Mariana Gabriela Ferreira Barboza</t>
  </si>
  <si>
    <t>COMISS_RANK</t>
  </si>
  <si>
    <t>Total</t>
  </si>
  <si>
    <t>Comiss Total</t>
  </si>
  <si>
    <t>Comiss_C6Pay</t>
  </si>
  <si>
    <t>Comiss_QLF</t>
  </si>
  <si>
    <t>Comiss_Meta</t>
  </si>
  <si>
    <t>Comiss_Rank</t>
  </si>
  <si>
    <t>Comiss_Total</t>
  </si>
  <si>
    <t>INVÁLIDA</t>
  </si>
  <si>
    <t>ACELERADOR</t>
  </si>
  <si>
    <t>CASH IN: 0 | DOMICILIO: 0 | SALDO MEDIO: 0 | SPENDING: 2 | CONTA GLOBAL: 0</t>
  </si>
  <si>
    <t>Fabio Lopes Navarrete</t>
  </si>
  <si>
    <t>CASH IN: 3 | DOMICILIO: 0 | SALDO MEDIO: 2 | SPENDING: 1 | CONTA GLOBAL: 0</t>
  </si>
  <si>
    <t>LTDA</t>
  </si>
  <si>
    <t>Ricardo Cirino Mendes Caetano</t>
  </si>
  <si>
    <t>Bruna Eloisa Sousa Carvalho</t>
  </si>
  <si>
    <t>Maria Luisa Ribeiro da Silva</t>
  </si>
  <si>
    <t>Amanda Kachinski Bosco</t>
  </si>
  <si>
    <t>META</t>
  </si>
  <si>
    <t>CASH IN: 0 | DOMICILIO: 1 | SALDO MEDIO: 0 | SPENDING: 0 | CONTA GLOBAL: 0</t>
  </si>
  <si>
    <t>CASH IN: 1 | DOMICILIO: 1 | SALDO MEDIO: 0 | SPENDING: 0 | CONTA GLOBAL: 0</t>
  </si>
  <si>
    <t>CASH IN: 1 | DOMICILIO: 1 | SALDO MEDIO: 1 | SPENDING: 0 | CONTA GLOBAL: 0</t>
  </si>
  <si>
    <t>CASH IN: 1 | DOMICILIO: 1 | SALDO MEDIO: 2 | SPENDING: 0 | CONTA GLOBAL: 0</t>
  </si>
  <si>
    <t>CASH IN: 2 | DOMICILIO: 0 | SALDO MEDIO: 0 | SPENDING: 1 | CONTA GLOBAL: 0</t>
  </si>
  <si>
    <t>CASH IN: 2 | DOMICILIO: 1 | SALDO MEDIO: 0 | SPENDING: 0 | CONTA GLOBAL: 0</t>
  </si>
  <si>
    <t>CASH IN: 4 | DOMICILIO: 4 | SALDO MEDIO: 3 | SPENDING: 0 | CONTA GLOBAL: 0</t>
  </si>
  <si>
    <t>Comiss_Abertura</t>
  </si>
  <si>
    <t>Contas_Abertas</t>
  </si>
  <si>
    <t>Encerradas/Invalida</t>
  </si>
  <si>
    <t>42982776000102</t>
  </si>
  <si>
    <t>J OLIVEIRA REPRESENTACOES LTDA</t>
  </si>
  <si>
    <t>60034384000195</t>
  </si>
  <si>
    <t>KAIO IUANAMI TATA MEDICINA ESPECIALIZADA LTDA</t>
  </si>
  <si>
    <t>62081379000169</t>
  </si>
  <si>
    <t>NENDES JOSE DAVID TRANSPORTE LTDA</t>
  </si>
  <si>
    <t>39979344000120</t>
  </si>
  <si>
    <t>PHAMELLA OLIVEIRA SOCIEDADE INDIVIDUAL DE ADVOCACIA</t>
  </si>
  <si>
    <t>34615196000140</t>
  </si>
  <si>
    <t>VIA SUL EDUCACAO LTDA</t>
  </si>
  <si>
    <t>27548216000142</t>
  </si>
  <si>
    <t>RAMOS EMPREENDIMENTOS LTDA</t>
  </si>
  <si>
    <t>38729131000187</t>
  </si>
  <si>
    <t>JVS INCORPORADORA LTDA</t>
  </si>
  <si>
    <t>24376289000106</t>
  </si>
  <si>
    <t>CML HOSPITALAR GERENCIAMENTO E COMERCIO LTDA</t>
  </si>
  <si>
    <t>51137371000150</t>
  </si>
  <si>
    <t>CENTRO DE TREINAMENTO OLD SCHOOL RENEE LTDA</t>
  </si>
  <si>
    <t>59124876000192</t>
  </si>
  <si>
    <t>BRENO GABRIEL DE OLIVEIRA QUEIROZ</t>
  </si>
  <si>
    <t>61899272000160</t>
  </si>
  <si>
    <t>PATRICIA FERREIRA SOCIEDADE INDIVIDUAL DE ADVOCACIA</t>
  </si>
  <si>
    <t>61689796000126</t>
  </si>
  <si>
    <t>SABRINO DONINI PEREIRA LTDA</t>
  </si>
  <si>
    <t>60441780000137</t>
  </si>
  <si>
    <t>JD REZENDE ENGENHARIA</t>
  </si>
  <si>
    <t>62340402000192</t>
  </si>
  <si>
    <t>JULIANA BATISTA FERREIRA SANTOS</t>
  </si>
  <si>
    <t>26639673000180</t>
  </si>
  <si>
    <t>TIKO CONSTRUCOES LTDA</t>
  </si>
  <si>
    <t>62402781000106</t>
  </si>
  <si>
    <t>MATEUS GALEAZI DE OLIVEIRA CONSULTORIA EM TECNOLOGIA LTDA</t>
  </si>
  <si>
    <t>62004761000179</t>
  </si>
  <si>
    <t>ROSA GONCALVES GOUVEA SOCIEDADE DE ADVOGADOS</t>
  </si>
  <si>
    <t>62432376000122</t>
  </si>
  <si>
    <t>MOVE CAL LTDA</t>
  </si>
  <si>
    <t>62098548000173</t>
  </si>
  <si>
    <t>ONAILUJ TI LTDA</t>
  </si>
  <si>
    <t>60583293000109</t>
  </si>
  <si>
    <t>LAS ESPORTES LTDA</t>
  </si>
  <si>
    <t>62051009000189</t>
  </si>
  <si>
    <t>GJ INFORMATION TECHNOLOGY CONSULTING LTDA</t>
  </si>
  <si>
    <t>51223825000106</t>
  </si>
  <si>
    <t>LEO PUB COMERCIO LTDA</t>
  </si>
  <si>
    <t>62466455000154</t>
  </si>
  <si>
    <t>JULIANA BRAGA SOCIEDADE INDIVIDUAL DE ADVOCACIA</t>
  </si>
  <si>
    <t>50623360000118</t>
  </si>
  <si>
    <t>SANDROS BAR LTDA</t>
  </si>
  <si>
    <t>23699525000162</t>
  </si>
  <si>
    <t>HM TENDAS LOCACOES LTDA</t>
  </si>
  <si>
    <t>62265321000175</t>
  </si>
  <si>
    <t>THAIS LUSTOSA CORDEIRO PSICOLOGIA TERAPIA LTDA</t>
  </si>
  <si>
    <t>62382287000119</t>
  </si>
  <si>
    <t>GPC COMERCIO E SERVICO DE INSTALACAO DE PAPEIS DE PAREDE LTDA</t>
  </si>
  <si>
    <t>35534518000190</t>
  </si>
  <si>
    <t>MH AR CONDICIONADO SISTEMA ELETRICO LTDA</t>
  </si>
  <si>
    <t>31999185000113</t>
  </si>
  <si>
    <t>J P CONSTRUCOES LTDA</t>
  </si>
  <si>
    <t>40481382000137</t>
  </si>
  <si>
    <t>TECH SECURITY MONITORAMENTO LTDA</t>
  </si>
  <si>
    <t>62000556000135</t>
  </si>
  <si>
    <t>ELETROVOLT SOLUCOES EM ENERGIA E CONSULTORIA LTDA</t>
  </si>
  <si>
    <t>22877577000119</t>
  </si>
  <si>
    <t>RDS RECUPERACAO E MONTAGEM DE VEICULOS PESADOS LTDA</t>
  </si>
  <si>
    <t>28535865000171</t>
  </si>
  <si>
    <t>R C SERVICOS LTDA</t>
  </si>
  <si>
    <t>31436828000110</t>
  </si>
  <si>
    <t>MARCO AURELIO UNIFORMES LTDA</t>
  </si>
  <si>
    <t>28251063000130</t>
  </si>
  <si>
    <t>SRTA CHOCOLATES LTDA</t>
  </si>
  <si>
    <t>55622826000184</t>
  </si>
  <si>
    <t>SUPER TROCA DE OLEO DO FABIANO LTDA</t>
  </si>
  <si>
    <t>59664660000110</t>
  </si>
  <si>
    <t>DOUGLAS H D B FILISBERTO LTDA</t>
  </si>
  <si>
    <t>45832487000107</t>
  </si>
  <si>
    <t>MASTER SERVICOS REFRIGERACAO E ELETRICA LTDA</t>
  </si>
  <si>
    <t>25526693000181</t>
  </si>
  <si>
    <t>CLARICE RIBEIRO PODOLOGIA E BELEZA DAS UNHAS LTDA</t>
  </si>
  <si>
    <t>17130602000166</t>
  </si>
  <si>
    <t>VELLOG EXPRESS LTDA</t>
  </si>
  <si>
    <t>50050313000122</t>
  </si>
  <si>
    <t>A B M TEIXEIRA SERVICOS MEDICOS LTDA</t>
  </si>
  <si>
    <t>31319135000148</t>
  </si>
  <si>
    <t>BRUNO SANTIAGO DE MORAES SERVICOS DE ENTREGAS E TRANSPORTES LTDA</t>
  </si>
  <si>
    <t>23319266000105</t>
  </si>
  <si>
    <t>CONSERVATORIO PIANINO LTDA</t>
  </si>
  <si>
    <t>62208456000107</t>
  </si>
  <si>
    <t>W V DE SOUZA</t>
  </si>
  <si>
    <t>62108629000107</t>
  </si>
  <si>
    <t>TEIXEIRA SOLUCOES EMPRESARIAIS LTDA</t>
  </si>
  <si>
    <t>53998178000130</t>
  </si>
  <si>
    <t>SINGULLAR MOBILI INDUSTRIA E COMERCIO LTDA</t>
  </si>
  <si>
    <t>29816191000146</t>
  </si>
  <si>
    <t>ACQUA LIMPA PISCINAS COMERCIO E SERVICOS LTDA</t>
  </si>
  <si>
    <t>60237513000142</t>
  </si>
  <si>
    <t>VENANCIO TRANSPORTE LTDA</t>
  </si>
  <si>
    <t>59959893000140</t>
  </si>
  <si>
    <t>RAYSA ROCHA LTDA</t>
  </si>
  <si>
    <t>41740813000103</t>
  </si>
  <si>
    <t>SANTOS MELO LTDA</t>
  </si>
  <si>
    <t>62352809000130</t>
  </si>
  <si>
    <t>DEPOSITO MASCAROS LTDA</t>
  </si>
  <si>
    <t>57242459000119</t>
  </si>
  <si>
    <t>AGENCIA CATALISE PUBLICIDADE E PROPAGANDA LTDA</t>
  </si>
  <si>
    <t>61959384000169</t>
  </si>
  <si>
    <t>WOODPOINT MOVEIS LTDA</t>
  </si>
  <si>
    <t>21584892000195</t>
  </si>
  <si>
    <t>ARKIBOM AQUECEDORES HORAS LTDA</t>
  </si>
  <si>
    <t>62030777000156</t>
  </si>
  <si>
    <t>FHP CONSTRUCAO E EMPREENDIMENTOS LTDA</t>
  </si>
  <si>
    <t>34792933000180</t>
  </si>
  <si>
    <t>DOUGLAS CAMPOS OLIVEIRA LTDA</t>
  </si>
  <si>
    <t>34378574000110</t>
  </si>
  <si>
    <t>ALEXANDRE BARICHELLO</t>
  </si>
  <si>
    <t>59518857000140</t>
  </si>
  <si>
    <t>MSPORTS LTDA</t>
  </si>
  <si>
    <t>50859184000118</t>
  </si>
  <si>
    <t>CLINICA ASSIS SAUDE TERAPEUTICA LTDA</t>
  </si>
  <si>
    <t>22058054000140</t>
  </si>
  <si>
    <t>COMERCIO DE BRINQUEDOS PLAYLEX LTDA</t>
  </si>
  <si>
    <t>47481632000188</t>
  </si>
  <si>
    <t>PRODUTORA MUSICAL DEPAD RECORDS LTDA</t>
  </si>
  <si>
    <t>31446790000167</t>
  </si>
  <si>
    <t>TESP TRANSFORMADORES ESPECIAIS LTDA</t>
  </si>
  <si>
    <t>62307162000124</t>
  </si>
  <si>
    <t>BRUNO RODRIGUES SOCIEDADE INDIVIDUAL DE ADVOCACIA</t>
  </si>
  <si>
    <t>13344084000122</t>
  </si>
  <si>
    <t>CR SERVICOS ELETRICOS LTDA</t>
  </si>
  <si>
    <t>39676609000110</t>
  </si>
  <si>
    <t>CONSTRUFORTE CONSTRUCOES COMERCIO E SERVICOS LTDA</t>
  </si>
  <si>
    <t>44384574000186</t>
  </si>
  <si>
    <t>JT ENERGIA SUSTENTAVEL LTDA</t>
  </si>
  <si>
    <t>25367060000178</t>
  </si>
  <si>
    <t>ENGEEND INSPECAO DE EQUIPAMENTOS INDUSTRIAIS LTDA</t>
  </si>
  <si>
    <t>50361461000168</t>
  </si>
  <si>
    <t>DRUMCELL ASSISTENCIA TECNICA LTDA</t>
  </si>
  <si>
    <t>27361607000153</t>
  </si>
  <si>
    <t>C F P ESPETINHO DO CLEIBIM LTDA</t>
  </si>
  <si>
    <t>32534675000107</t>
  </si>
  <si>
    <t>RAPIDA ENERGIA SOLAR LTDA</t>
  </si>
  <si>
    <t>49197161000106</t>
  </si>
  <si>
    <t>ANTONIO TELES CARDOSO SOCIEDADE INDIVIDUAL DE ADVOCACIA</t>
  </si>
  <si>
    <t>61950588000139</t>
  </si>
  <si>
    <t>MOLEKES DRYWORKS LTDA</t>
  </si>
  <si>
    <t>39933289000137</t>
  </si>
  <si>
    <t>MORIAH SOLUCOES EMPRESARIAIS LTDA</t>
  </si>
  <si>
    <t>57862373000199</t>
  </si>
  <si>
    <t>ASSOCIACAO ESPORTIVA DUAL FIGHT TEAM</t>
  </si>
  <si>
    <t>47142852000187</t>
  </si>
  <si>
    <t>BARBOSA CENTRO DE DIAGNOSTICO LTDA</t>
  </si>
  <si>
    <t>49242828000145</t>
  </si>
  <si>
    <t>AUTOMED CLINICA MEDICA LTDA</t>
  </si>
  <si>
    <t>37900476000199</t>
  </si>
  <si>
    <t>FOCO CONSULTORIA E INTELIGENCIA LTDA</t>
  </si>
  <si>
    <t>62256023000119</t>
  </si>
  <si>
    <t>SPACE ALV CONSTRUCOES LTDA</t>
  </si>
  <si>
    <t>59244292000150</t>
  </si>
  <si>
    <t>YARYON METODOS E SERVICOS MULTIDISCIPLINARES DE SAUDE E EDUCACAO LTDA</t>
  </si>
  <si>
    <t>62063891000182</t>
  </si>
  <si>
    <t>ALC GESTAO EMPRESARIAL LTDA</t>
  </si>
  <si>
    <t>62311132000191</t>
  </si>
  <si>
    <t>ALPHA CONSULTORIA E PLANEJAMENTO LTDA</t>
  </si>
  <si>
    <t>42185633000161</t>
  </si>
  <si>
    <t>LUIZ TANDIAL FERREIRA</t>
  </si>
  <si>
    <t>05074560000104</t>
  </si>
  <si>
    <t>GEANDRO B DE SOUZA LTDA</t>
  </si>
  <si>
    <t>62435134000192</t>
  </si>
  <si>
    <t>GEOVANA TERAPEUTA OCUPACIONAL LTDA</t>
  </si>
  <si>
    <t>08519608000139</t>
  </si>
  <si>
    <t>ACTIO REPRESENTACAO COMERCIAL LTDA</t>
  </si>
  <si>
    <t>60475926000165</t>
  </si>
  <si>
    <t>CONDOMINIO EDIFICIO MIRANTE DO SOLARIS</t>
  </si>
  <si>
    <t>55717921000161</t>
  </si>
  <si>
    <t>JOSE JORGE ROCHA ALMEIDA NETO LTDA</t>
  </si>
  <si>
    <t>51024605000153</t>
  </si>
  <si>
    <t>ANTONIO GABRIEL CASBURGO DE ALMEIDA LTDA</t>
  </si>
  <si>
    <t>48337591000113</t>
  </si>
  <si>
    <t>ADEMIR LIMA DE SOUZA LTDA</t>
  </si>
  <si>
    <t>61699285000195</t>
  </si>
  <si>
    <t>IANDE ATELIE DE PROJETOS E CONSULTORIA LTDA</t>
  </si>
  <si>
    <t>59313562000138</t>
  </si>
  <si>
    <t>MR CONSULTORIO ODONTOLOGICO LTDA</t>
  </si>
  <si>
    <t>62179542000120</t>
  </si>
  <si>
    <t>EMPILHA MAIS SERVICOS LTDA</t>
  </si>
  <si>
    <t>60972906000108</t>
  </si>
  <si>
    <t>GONTIJO ASSESSORIA IMOBILIARIA LTDA</t>
  </si>
  <si>
    <t>53879735000101</t>
  </si>
  <si>
    <t>JANETE BRINQUEDOS LTDA</t>
  </si>
  <si>
    <t>62058024000159</t>
  </si>
  <si>
    <t>OLYRA INTELIGENCIA ARTIFICIAL LTDA</t>
  </si>
  <si>
    <t>61266345000186</t>
  </si>
  <si>
    <t>SC PRODUCOES E EVENTOS LTDA</t>
  </si>
  <si>
    <t>59328339000164</t>
  </si>
  <si>
    <t>ESCALA SOLUCOES E CONSULTORIA LTDA</t>
  </si>
  <si>
    <t>61416565000149</t>
  </si>
  <si>
    <t>BARICHELLO CONSULTORIA AGRONOMICA LTDA</t>
  </si>
  <si>
    <t>28246979000100</t>
  </si>
  <si>
    <t>SANTO BEEF DESENVOLVIMENTO PECUARIO LTDA</t>
  </si>
  <si>
    <t>57773217000151</t>
  </si>
  <si>
    <t>STIVE SERVICOS TERCEIRIZADOS LTDA</t>
  </si>
  <si>
    <t>62052092000100</t>
  </si>
  <si>
    <t>GLOBALRENT ASSISTENCIA TECNICA REVENDA E LOCACAO LTDA</t>
  </si>
  <si>
    <t>53015794000123</t>
  </si>
  <si>
    <t>DEPOSITO DE BEBIDAS IMPERIO PENHA LTDA</t>
  </si>
  <si>
    <t>62355134000182</t>
  </si>
  <si>
    <t>HIPERPOCOS LOCACAO E SERVICOS LTDA</t>
  </si>
  <si>
    <t>62197703000109</t>
  </si>
  <si>
    <t>MARINA HARO SOCIEDADE INDIVIDUAL DE ADVOCACIA</t>
  </si>
  <si>
    <t>61447434000129</t>
  </si>
  <si>
    <t>FGONCALVES REPRESENTACAO COMERCIAL LTDA</t>
  </si>
  <si>
    <t>62439402000144</t>
  </si>
  <si>
    <t>MONICA TATIANE REINER DE ALMEIDA FLORENCIO SOCIEDADE INDIVIDUAL DE ADVOCACIA</t>
  </si>
  <si>
    <t>52662329000111</t>
  </si>
  <si>
    <t>ANA SEVEN COSMETICOS LTDA</t>
  </si>
  <si>
    <t>62425243000129</t>
  </si>
  <si>
    <t>ALESSANDRO FERNANDO DIAS DE SOUZA</t>
  </si>
  <si>
    <t>62328360000174</t>
  </si>
  <si>
    <t>VITORIA RAMIRES FANTASIA SOCIEDADE INDIVIDUAL DE ADVOCACIA</t>
  </si>
  <si>
    <t>33214650000199</t>
  </si>
  <si>
    <t>DIVINAL TRANSPORTES E LOGISTICA LTDA</t>
  </si>
  <si>
    <t>42388735000184</t>
  </si>
  <si>
    <t>CONSTRUTORA CAPANEMA LTDA</t>
  </si>
  <si>
    <t>62381239000106</t>
  </si>
  <si>
    <t>DIEGO VARGAS SOCIEDADE INDIVIDUAL DE ADVOCACIA</t>
  </si>
  <si>
    <t>62354216000102</t>
  </si>
  <si>
    <t>LEONARDO TORRES COELHO SOCIEDADE INDIVIDUAL DE ADVOCACIA</t>
  </si>
  <si>
    <t>62220889000170</t>
  </si>
  <si>
    <t>KAIO OLIVEIRA SOCIEDADE INDIVIDUAL DE ADVOCACIA</t>
  </si>
  <si>
    <t>62239286000110</t>
  </si>
  <si>
    <t>FERNANDA PACKNESS SOCIEDADE INDIVIDUAL DE ADVOCACIA</t>
  </si>
  <si>
    <t>62011557000185</t>
  </si>
  <si>
    <t>CAMILA RIBEIRO PEIXOTO SOCIEDADE INDIVIDUAL DE ADVOCACIA</t>
  </si>
  <si>
    <t>61759162000100</t>
  </si>
  <si>
    <t>FIBRANET TELECOM LTDA</t>
  </si>
  <si>
    <t>24739325000159</t>
  </si>
  <si>
    <t>CASAVERDE INTERMEDIACAO E AGENCIAMENTO LTDA</t>
  </si>
  <si>
    <t>61136434000108</t>
  </si>
  <si>
    <t>ANGULAR ENGENHARIA LTDA</t>
  </si>
  <si>
    <t>50468934000120</t>
  </si>
  <si>
    <t>TACO SORVETERIA E CAFE LTDA</t>
  </si>
  <si>
    <t>61818133000164</t>
  </si>
  <si>
    <t>FERNANDO CARVALHO DE MORAES SOCIEDADE INDIVIDUAL DE ADVOCACIA</t>
  </si>
  <si>
    <t>57627646000110</t>
  </si>
  <si>
    <t>L DA S BENTO</t>
  </si>
  <si>
    <t>62004739000129</t>
  </si>
  <si>
    <t>MAPET SAUDE ANIMAL DOUTORPET LTDA</t>
  </si>
  <si>
    <t>59841854000143</t>
  </si>
  <si>
    <t>FRATELLI RH LTDA</t>
  </si>
  <si>
    <t>60435602000101</t>
  </si>
  <si>
    <t>M ALUGUEL DE MOTOS LTDA</t>
  </si>
  <si>
    <t>59704789000104</t>
  </si>
  <si>
    <t>CONNECTARE GROUP INTERMEDIACAO E AGENCIAMENTO DE SERVICOES E NEGOCIOS LTDA</t>
  </si>
  <si>
    <t>37805982000107</t>
  </si>
  <si>
    <t>NATEL COMERCIO E INSTALACOES ELETRICAS LTDA</t>
  </si>
  <si>
    <t>52251114000108</t>
  </si>
  <si>
    <t>MARCIELE NUNES LEMOS LTDA</t>
  </si>
  <si>
    <t>62222978000155</t>
  </si>
  <si>
    <t>JOAO PAULINO DOS SANTOS JUNIOR</t>
  </si>
  <si>
    <t>60892709000170</t>
  </si>
  <si>
    <t>DARLISON OLIVEIRA DE ARAUJO</t>
  </si>
  <si>
    <t>61214683000174</t>
  </si>
  <si>
    <t>MIRANDA LOGISTICA LTDA</t>
  </si>
  <si>
    <t>29796389000105</t>
  </si>
  <si>
    <t>JG ELETRICAS LTDA</t>
  </si>
  <si>
    <t>57638798000119</t>
  </si>
  <si>
    <t>ZE SUCATAS LTDA</t>
  </si>
  <si>
    <t>61257659000112</t>
  </si>
  <si>
    <t>NORTES ENGENHARIA LTDA</t>
  </si>
  <si>
    <t>60498682000136</t>
  </si>
  <si>
    <t>RENNER MARCHI SOCIEDADE INDIVIDUAL DE ADVOCACIA</t>
  </si>
  <si>
    <t>31535695000130</t>
  </si>
  <si>
    <t>VAREJAO DAS FRUTAS LS LTDA</t>
  </si>
  <si>
    <t>21543708000169</t>
  </si>
  <si>
    <t>TURATTI CASTRO CONSULTORIA E CORRETAGEM DE SEGUROS LTDA</t>
  </si>
  <si>
    <t>11512551000150</t>
  </si>
  <si>
    <t>FERNANDO CARVALHO DE MORAES</t>
  </si>
  <si>
    <t>43237792000125</t>
  </si>
  <si>
    <t>MLANZI EMPREENDIMENTOS IMOBILIARIOS LTDA</t>
  </si>
  <si>
    <t>62418641000118</t>
  </si>
  <si>
    <t>LUCAS FRANCESCHI FONTES ROCHA SOCIEDADE INDIVIDUAL DE ADVOCACIA</t>
  </si>
  <si>
    <t>62133740000153</t>
  </si>
  <si>
    <t>CLINICA CONECTA MULTITERAPIAS LTDA</t>
  </si>
  <si>
    <t>62286223000114</t>
  </si>
  <si>
    <t>LUCAS FONSECA BERTOLDO SOCIEDADE INDIVIDUAL DE ADVOCACIA</t>
  </si>
  <si>
    <t>61108576000161</t>
  </si>
  <si>
    <t>DCINFO SOLUCOES EM TECNOLOGIA LTDA</t>
  </si>
  <si>
    <t>36922675000135</t>
  </si>
  <si>
    <t>WORLD OF CASES COM DE ESTOJOS PARA INSTRUMENTOS MUSICAIS LTDA</t>
  </si>
  <si>
    <t>35114976000170</t>
  </si>
  <si>
    <t>FRANCESCO LINO LOPES</t>
  </si>
  <si>
    <t>36172882000110</t>
  </si>
  <si>
    <t>PADARIA RAINHA DO ELDORADO LTDA</t>
  </si>
  <si>
    <t>61422231000188</t>
  </si>
  <si>
    <t>SOUZASOUZA ARTE E CULTURA LTDA</t>
  </si>
  <si>
    <t>35204529000101</t>
  </si>
  <si>
    <t>GRAFICA R S R COMUNICACAO VISUAL LTDA</t>
  </si>
  <si>
    <t>62019992000156</t>
  </si>
  <si>
    <t>JCS REPRESENTACAO COMERCIAIS LTDA</t>
  </si>
  <si>
    <t>53729709000199</t>
  </si>
  <si>
    <t>REINALDO TIBURCIO DA SILVA JUNIOR</t>
  </si>
  <si>
    <t>50926747000143</t>
  </si>
  <si>
    <t>LUZES QUE ENCANTAM LTDA</t>
  </si>
  <si>
    <t>38156730000159</t>
  </si>
  <si>
    <t>KAUEX REPRESENTACOES LTDA</t>
  </si>
  <si>
    <t>52304958000170</t>
  </si>
  <si>
    <t>CARVALHO SERVICOS LTDA</t>
  </si>
  <si>
    <t>61961450000135</t>
  </si>
  <si>
    <t>INSTITUTO ESPIRITO SANTO LTDA</t>
  </si>
  <si>
    <t>33446098000164</t>
  </si>
  <si>
    <t>PRA RETIFICA COMERCIO DE AUTO PECAS LTDA</t>
  </si>
  <si>
    <t>47174220000103</t>
  </si>
  <si>
    <t>CLEVERSON DE MEIRA BEZERRA LTDA</t>
  </si>
  <si>
    <t>43175831000107</t>
  </si>
  <si>
    <t>SANAA COMIDA LIBANESA LTDA</t>
  </si>
  <si>
    <t>36042755000104</t>
  </si>
  <si>
    <t>BROTHERS GARAGE MECANICA MULTIMARCAS LTDA</t>
  </si>
  <si>
    <t>57262718000173</t>
  </si>
  <si>
    <t>PEDRO RAMOS SOCIEDADE INDIVIDUAL DE ADVOCACIA</t>
  </si>
  <si>
    <t>59036669000186</t>
  </si>
  <si>
    <t>BOA SORTE TRANSPORTES LTDA</t>
  </si>
  <si>
    <t>55600103000184</t>
  </si>
  <si>
    <t>ROSOILDO PEREIRA SOCIEDADE INDIVIDUAL DE ADVOCACIA</t>
  </si>
  <si>
    <t>59192976000156</t>
  </si>
  <si>
    <t>MARIO MARTINS LIMPA FOSSA LTDA</t>
  </si>
  <si>
    <t>62396861000198</t>
  </si>
  <si>
    <t>FERNANDES ARAUJO SOCIEDADE INDIVIDUAL DE ADVOCACIA</t>
  </si>
  <si>
    <t>53919037000184</t>
  </si>
  <si>
    <t>ABREU TRANSPORTADORA E COMERCIO LTDA</t>
  </si>
  <si>
    <t>26319758000180</t>
  </si>
  <si>
    <t>RANNYERY PRESTACAO DE SERVICO LTDA</t>
  </si>
  <si>
    <t>62119907000121</t>
  </si>
  <si>
    <t>DOM DAVI TRANSPORTES E LOGISTICA LTDA</t>
  </si>
  <si>
    <t>59030062000199</t>
  </si>
  <si>
    <t>ANTONIO EUGENIO DA SILVA BARROS LTDA</t>
  </si>
  <si>
    <t>60974590000185</t>
  </si>
  <si>
    <t>CASA CONTEMPORANEA QUINTINU S LTDA</t>
  </si>
  <si>
    <t>60645350000137</t>
  </si>
  <si>
    <t>LBL DISTRIBUIDORA DE LUBRIFICANTE LTDA</t>
  </si>
  <si>
    <t>52285346000187</t>
  </si>
  <si>
    <t>N FERRAZ COSMETICOS LTDA</t>
  </si>
  <si>
    <t>53992351000192</t>
  </si>
  <si>
    <t>INACIO ALMINHANA REPRESENTACAO E ASSESSORIA</t>
  </si>
  <si>
    <t>82019167000169</t>
  </si>
  <si>
    <t>PONTA INFORMATICA AGROPECUARIA LTDA</t>
  </si>
  <si>
    <t>54965144000101</t>
  </si>
  <si>
    <t>COMUNIDADE TERAPEUTICA GANHADORES DE ALMAS PARA CRISTO JESUS</t>
  </si>
  <si>
    <t>41693238000127</t>
  </si>
  <si>
    <t>RM VIAGENS E TURISMO LTDA</t>
  </si>
  <si>
    <t>43652956000180</t>
  </si>
  <si>
    <t>NILDO RETIRADA DE ENTULHOS LTDA</t>
  </si>
  <si>
    <t>46070174000121</t>
  </si>
  <si>
    <t>MORI COMERCIO E DISTRIBUICAO LTDA</t>
  </si>
  <si>
    <t>60740912000121</t>
  </si>
  <si>
    <t>BRAUTO SERVICE LTDA</t>
  </si>
  <si>
    <t>47522060000138</t>
  </si>
  <si>
    <t>WADNA FERREIRA GOMES LTDA</t>
  </si>
  <si>
    <t>29966216000198</t>
  </si>
  <si>
    <t>FORTE ECO SYSTEM RECICLAGEM LTDA</t>
  </si>
  <si>
    <t>08655552000140</t>
  </si>
  <si>
    <t>BARRA GAS LTDA</t>
  </si>
  <si>
    <t>49975993000106</t>
  </si>
  <si>
    <t>LSV SOLUCOES E MANUTENCOES LTDA</t>
  </si>
  <si>
    <t>54428667000119</t>
  </si>
  <si>
    <t>BELEZA SUPORTE LTDA</t>
  </si>
  <si>
    <t>46005493000153</t>
  </si>
  <si>
    <t>MB ASSESSORIA ESPORTIVA LTDA</t>
  </si>
  <si>
    <t>62068062000192</t>
  </si>
  <si>
    <t>MARIANA SANGALETTI SOCIEDADE INDIVIDUAL DE ADVOCACIA</t>
  </si>
  <si>
    <t>31200050000146</t>
  </si>
  <si>
    <t>DIOGO GUINCHO LTDA</t>
  </si>
  <si>
    <t>43149796000151</t>
  </si>
  <si>
    <t>CANDIDO TRANSPORTE E FRETAMENTO LTDA</t>
  </si>
  <si>
    <t>59897479000153</t>
  </si>
  <si>
    <t>A FERRAZ COSMESTICOS LTDA</t>
  </si>
  <si>
    <t>61255772000169</t>
  </si>
  <si>
    <t>PEDROSOLIMA SERVICOS ADMINISTRATIVOS LTDA</t>
  </si>
  <si>
    <t>61908641000133</t>
  </si>
  <si>
    <t>EBISU ENSINO PROFISSIONALIZANTE LTDA</t>
  </si>
  <si>
    <t>62256468000107</t>
  </si>
  <si>
    <t>MASCARENHAS CONSULTORIA E SOLUCOES EM LOGISTICA LTDA</t>
  </si>
  <si>
    <t>59258985000100</t>
  </si>
  <si>
    <t>OSIEL FERREIRA DE SOUZA SOCIEDADE INDIVIDUAL DE ADVOCACIA</t>
  </si>
  <si>
    <t>57209359000190</t>
  </si>
  <si>
    <t>NEXUS GESTAO FINANCEIRA LTDA</t>
  </si>
  <si>
    <t>36643561000156</t>
  </si>
  <si>
    <t>SAVAGE KWELS EMPREENDIMENTOS LTDA</t>
  </si>
  <si>
    <t>61089080000198</t>
  </si>
  <si>
    <t>MENDES E ARAUJO ADVOGADOS ASSOCIADOS</t>
  </si>
  <si>
    <t>61674717000103</t>
  </si>
  <si>
    <t>PONT CONSULTORIA EM PROJETOS LTDA</t>
  </si>
  <si>
    <t>52472590000159</t>
  </si>
  <si>
    <t>ENGLISH IN BRAZIL PARTICIPACOES LTDA</t>
  </si>
  <si>
    <t>61362824000104</t>
  </si>
  <si>
    <t>EGCONSTRUTORA DO BASICO AO ACABAMENTO LTDA</t>
  </si>
  <si>
    <t>42932338000121</t>
  </si>
  <si>
    <t>PROJETO VIDA JOVEM</t>
  </si>
  <si>
    <t>61980966000127</t>
  </si>
  <si>
    <t>DANIELLE PEREIRA SOCIEDADE INDIVIDUAL DE ADVOCACIA</t>
  </si>
  <si>
    <t>51499266000161</t>
  </si>
  <si>
    <t>ASSOCIACAO ESPORA BATIDA DE PEDRANOPOLIS</t>
  </si>
  <si>
    <t>14661738000104</t>
  </si>
  <si>
    <t>DAVI SERVICOS LTDA</t>
  </si>
  <si>
    <t>62396872000178</t>
  </si>
  <si>
    <t>GABRIEL ROSA SOCIEDADE INDIVIDUAL DE ADVOCACIA</t>
  </si>
  <si>
    <t>62009914000170</t>
  </si>
  <si>
    <t>AUTOSUN SERVICOS LTDA</t>
  </si>
  <si>
    <t>45881964000124</t>
  </si>
  <si>
    <t>MARINHO E SANTANNA ADVOGADOS ASSOCIADOS</t>
  </si>
  <si>
    <t>62109672000197</t>
  </si>
  <si>
    <t>MARTA CRISTINA DE GODOY SOCIEDADE INDIVIDUAL DE ADVOCACIA</t>
  </si>
  <si>
    <t>62309635000122</t>
  </si>
  <si>
    <t>WELYTON DOS SANTOS SILVA SERVICOS ADMINISTRATIVOS LTDA</t>
  </si>
  <si>
    <t>43139522000181</t>
  </si>
  <si>
    <t>CABECA ACESSORIOS LTDA</t>
  </si>
  <si>
    <t>60730719000100</t>
  </si>
  <si>
    <t>GISLANE ISABEL REIS DA SILVA LTDA</t>
  </si>
  <si>
    <t>39318855000109</t>
  </si>
  <si>
    <t>RIBEIROPEREIRA ACAITERIA LTDA</t>
  </si>
  <si>
    <t>62059408000196</t>
  </si>
  <si>
    <t>OSCAR ALISSON ABBADE BORGES</t>
  </si>
  <si>
    <t>61504946000180</t>
  </si>
  <si>
    <t>THIAGO HENRIQUE RIBEIRO LTDA</t>
  </si>
  <si>
    <t>19921886000134</t>
  </si>
  <si>
    <t>J M SERVICOS DE CONSTRUCAO LTDA</t>
  </si>
  <si>
    <t>62123227000181</t>
  </si>
  <si>
    <t>B JESUS DA SILVA</t>
  </si>
  <si>
    <t>53796905000186</t>
  </si>
  <si>
    <t>BLESKIM PRODUCOES LTDA</t>
  </si>
  <si>
    <t>60145309000100</t>
  </si>
  <si>
    <t>BERNARDO COSTA DOS SANTOS LTDA</t>
  </si>
  <si>
    <t>45513858000198</t>
  </si>
  <si>
    <t>INSTITUTO ANA FEROLA COMPANY LTDA</t>
  </si>
  <si>
    <t>61028307000195</t>
  </si>
  <si>
    <t>JG GAMES LTDA</t>
  </si>
  <si>
    <t>31483974000105</t>
  </si>
  <si>
    <t>GUERRA E MATTARA SERVICOS ADMINISTRATIVOS LTDA</t>
  </si>
  <si>
    <t>59081491000195</t>
  </si>
  <si>
    <t>CRISTIANO FERNANDES DA SILVA</t>
  </si>
  <si>
    <t>55839126000146</t>
  </si>
  <si>
    <t>CCC SIQUEIRA DESENVOLVIMENTO LTDA</t>
  </si>
  <si>
    <t>51507634000176</t>
  </si>
  <si>
    <t>ESQUAVIDROS COMERCIO E DISTRIBUICAO LTDA</t>
  </si>
  <si>
    <t>59908539000196</t>
  </si>
  <si>
    <t>ASSOCIACAO INDEPENDENTE DOS PESCADORES MARISQUEIROS E AGRICULTORES DO MUNICIPIO DE ICATU</t>
  </si>
  <si>
    <t>62194400000132</t>
  </si>
  <si>
    <t>APROVAHUB SOLUCOES EDUCACIONAIS LTDA</t>
  </si>
  <si>
    <t>29314854000124</t>
  </si>
  <si>
    <t>ENGLISH IN BRAZIL PRODUTOS DIGITAIS LTDA</t>
  </si>
  <si>
    <t>61894737000190</t>
  </si>
  <si>
    <t>EVOLUTIA ARQUITETURA DE SISTEMAS LTDA</t>
  </si>
  <si>
    <t>62102893000133</t>
  </si>
  <si>
    <t>MODLOS FORROS E REVESTIMENTOS LTDA</t>
  </si>
  <si>
    <t>54667501000155</t>
  </si>
  <si>
    <t>EVENTOS SAO FRANCISCO LTDA</t>
  </si>
  <si>
    <t>61779103000196</t>
  </si>
  <si>
    <t>AZIMUTA LTDA</t>
  </si>
  <si>
    <t>59701049000114</t>
  </si>
  <si>
    <t>MV PISCINAS RIBEIRAO PRETO LTDA</t>
  </si>
  <si>
    <t>14232552000130</t>
  </si>
  <si>
    <t>C S PASTELARIA LTDA</t>
  </si>
  <si>
    <t>13299308000121</t>
  </si>
  <si>
    <t>SOUTH MOTORS COMERCIO DE VEICULOS LTDA</t>
  </si>
  <si>
    <t>51960429000161</t>
  </si>
  <si>
    <t>GATHUB LTDA</t>
  </si>
  <si>
    <t>59533367000113</t>
  </si>
  <si>
    <t>EJ BRINQUEDOS ELETRONICOS E ACESSORIOS EM GERAL LTDA</t>
  </si>
  <si>
    <t>10523438000108</t>
  </si>
  <si>
    <t>GERENCIAR SERVICOS LTDA</t>
  </si>
  <si>
    <t>61984265000166</t>
  </si>
  <si>
    <t>HOLEP EXPERIENCE LTDA</t>
  </si>
  <si>
    <t>40555208000191</t>
  </si>
  <si>
    <t>WR MOVEIS E ELETROS LTDA</t>
  </si>
  <si>
    <t>50768419000166</t>
  </si>
  <si>
    <t>SEGINTEC SEGURANCA LTDA</t>
  </si>
  <si>
    <t>54940618000160</t>
  </si>
  <si>
    <t>WISER IMPORTS ECOMMERCE LTDA</t>
  </si>
  <si>
    <t>62058438000188</t>
  </si>
  <si>
    <t>AGUIAR MOURA CLINICA MEDICA LTDA</t>
  </si>
  <si>
    <t>17280437000129</t>
  </si>
  <si>
    <t>V F B PECAS PARA BICICLETAS LTDA</t>
  </si>
  <si>
    <t>BLOQUEADA</t>
  </si>
  <si>
    <t>Cristiane dos Santos Andrade</t>
  </si>
  <si>
    <t>Sophia Bagagi Pigente</t>
  </si>
  <si>
    <t>Luana Duarte Paulo</t>
  </si>
  <si>
    <t>Jessica Lorenzetto Leme</t>
  </si>
  <si>
    <t>Maria Victoria Meronho</t>
  </si>
  <si>
    <t>EL CENTER</t>
  </si>
  <si>
    <t>CASH IN: 1 | DOMICILIO: 2 | SALDO MEDIO: 0 | SPENDING: 0 | CONTA GLOBAL: 0</t>
  </si>
  <si>
    <t>CASH IN: 2 | DOMICILIO: 0 | SALDO MEDIO: 0 | SPENDING: 2 | CONTA GLOBAL: 0</t>
  </si>
  <si>
    <t>CASH IN: 2 | DOMICILIO: 0 | SALDO MEDIO: 2 | SPENDING: 1 | CONTA GLOBAL: 0</t>
  </si>
  <si>
    <t>CASH IN: 2 | DOMICILIO: 2 | SALDO MEDIO: 0 | SPENDING: 0 | CONTA GLOBAL: 0</t>
  </si>
  <si>
    <t>CASH IN: 3 | DOMICILIO: 1 | SALDO MEDIO: 4 | SPENDING: 0 | CONTA GLOBAL: 0</t>
  </si>
  <si>
    <t>Comiss_Vendas</t>
  </si>
  <si>
    <t>57740354000190</t>
  </si>
  <si>
    <t>CLICKS IT SERVICE LTDA</t>
  </si>
  <si>
    <t>CASH IN: 0 | DOMICILIO: 0 | SALDO MEDIO: 0 | SPENDING: 1 | CONTA GLOBAL: 0</t>
  </si>
  <si>
    <t>22373256000187</t>
  </si>
  <si>
    <t>CENTRO DE TREINAMENTO FENIX LTDA</t>
  </si>
  <si>
    <t>54104189000191</t>
  </si>
  <si>
    <t>VITAL SERVICOS AUTOMOTIVOS LTDA</t>
  </si>
  <si>
    <t>47079121000134</t>
  </si>
  <si>
    <t>LIGIA APARECIDA DA SILVA ASSIS LTDA</t>
  </si>
  <si>
    <t>10458759000176</t>
  </si>
  <si>
    <t>UNIX COMERCIO E SERVICOS LTDA</t>
  </si>
  <si>
    <t>35941362000161</t>
  </si>
  <si>
    <t>MARQUES DE SOUZA DISTRIBUIDORA DE ALIMENTOS LTDA</t>
  </si>
  <si>
    <t>61165358000169</t>
  </si>
  <si>
    <t>SIQUEIRA DE SOUZA E DONATTI ADVOGADOS ASSOCIADOS</t>
  </si>
  <si>
    <t>30288504000110</t>
  </si>
  <si>
    <t>BERBERT SERVICOS E TECNOLOGIA LTDA</t>
  </si>
  <si>
    <t>62208351000140</t>
  </si>
  <si>
    <t>CONFORTESE CURITIBA LTDA</t>
  </si>
  <si>
    <t>25115359000135</t>
  </si>
  <si>
    <t>A M COMERCIO DE OTICA LTDA</t>
  </si>
  <si>
    <t>62536985000121</t>
  </si>
  <si>
    <t>GIGLIO SERVICOS LTDA</t>
  </si>
  <si>
    <t>59784415000146</t>
  </si>
  <si>
    <t>MARCIA LEILA GASPAROTTO ROQUE LTDA</t>
  </si>
  <si>
    <t>61350564000149</t>
  </si>
  <si>
    <t>RETIFICA DE MOTORES E AUTO PECAS ZF LTDA</t>
  </si>
  <si>
    <t>61795245000147</t>
  </si>
  <si>
    <t>PADARIA SANTA MARY LTDA</t>
  </si>
  <si>
    <t>51136862000187</t>
  </si>
  <si>
    <t>OHANA PRODUCOES LTDA</t>
  </si>
  <si>
    <t>61831595000111</t>
  </si>
  <si>
    <t>VIAZZY MOVELLO TRANSPORTES LTDA</t>
  </si>
  <si>
    <t>62700387000146</t>
  </si>
  <si>
    <t>ENGEFLUX LTDA</t>
  </si>
  <si>
    <t>61226771000196</t>
  </si>
  <si>
    <t>ALCR ELETRICA E HIDRAULICA LTDA</t>
  </si>
  <si>
    <t>27758232000160</t>
  </si>
  <si>
    <t>CHAPA QUENTE LTDA</t>
  </si>
  <si>
    <t>62945937000197</t>
  </si>
  <si>
    <t>GUSTAVO LUCAS SOARES PONTES</t>
  </si>
  <si>
    <t>52269833000156</t>
  </si>
  <si>
    <t>MARIANA ALVES SERVICOS MEDICOS E PSIQUIATRICOS LTDA</t>
  </si>
  <si>
    <t>62579015000103</t>
  </si>
  <si>
    <t>AMARAL SICILIANO ENGENHARIA LTDA</t>
  </si>
  <si>
    <t>62936014000179</t>
  </si>
  <si>
    <t>FABIANA BALLY SILVEIRA PSICOLOGA</t>
  </si>
  <si>
    <t>62911202000142</t>
  </si>
  <si>
    <t>SOOTRI ENGENHARIA LTDA</t>
  </si>
  <si>
    <t>37657494000191</t>
  </si>
  <si>
    <t>MATEL AUTOMOVEIS LTDA</t>
  </si>
  <si>
    <t>62767863000146</t>
  </si>
  <si>
    <t>ARCANJO ECOMMERCER MOTO PECAS E OFICINA LTDA</t>
  </si>
  <si>
    <t>62580505000120</t>
  </si>
  <si>
    <t>ALVARO FORNECK</t>
  </si>
  <si>
    <t>62292217000170</t>
  </si>
  <si>
    <t>PATRICIA CAULA WESTIN CONSULTORIA EM TECNOLOGIA DA INFORMACAO LTDA</t>
  </si>
  <si>
    <t>54439105000170</t>
  </si>
  <si>
    <t>ARTEC SERVICE LTDA</t>
  </si>
  <si>
    <t>62473842000118</t>
  </si>
  <si>
    <t>FRAJOLA MOTOPECAS E OFICINA LTDA</t>
  </si>
  <si>
    <t>61989066000140</t>
  </si>
  <si>
    <t>REDE TECNOLOGIAS LTDA</t>
  </si>
  <si>
    <t>62157917000151</t>
  </si>
  <si>
    <t>FME SERVICOS FINANCEIROS LTDA</t>
  </si>
  <si>
    <t>57736782000149</t>
  </si>
  <si>
    <t>CAROLINA ANDRADE SOCIEDADE INDIVIDUAL DE ADVOCACIA</t>
  </si>
  <si>
    <t>59198417000153</t>
  </si>
  <si>
    <t>CRESPIM DESIGN DE MOVEIS LTDA</t>
  </si>
  <si>
    <t>54122185000136</t>
  </si>
  <si>
    <t>INDUSTRIA CHAZAK LTDA</t>
  </si>
  <si>
    <t>58917416000159</t>
  </si>
  <si>
    <t>ISAGEO GEOLOGIA LTDA</t>
  </si>
  <si>
    <t>60314802000106</t>
  </si>
  <si>
    <t>TAINARA ARAUJO SILVA SLU LTDA</t>
  </si>
  <si>
    <t>62335374000115</t>
  </si>
  <si>
    <t>INSTAPAY LTDA</t>
  </si>
  <si>
    <t>62398279000160</t>
  </si>
  <si>
    <t>STS CONSULTORIA LTDA</t>
  </si>
  <si>
    <t>49135264000141</t>
  </si>
  <si>
    <t>L DOS SANTOS M</t>
  </si>
  <si>
    <t>47889020000129</t>
  </si>
  <si>
    <t>OOH SMASH SAPIRANGA LANCHES LTDA</t>
  </si>
  <si>
    <t>62644820000173</t>
  </si>
  <si>
    <t>L H S CANDIDO CONSULTORIA EM TI LTDA</t>
  </si>
  <si>
    <t>62320017000183</t>
  </si>
  <si>
    <t>NSTS SERVICOS MEDICOS LTDA</t>
  </si>
  <si>
    <t>55431047000100</t>
  </si>
  <si>
    <t>GONCALO TEIXEIRA SOCIEDADE INDIVIDUAL DE ADVOCACIA</t>
  </si>
  <si>
    <t>60698471000147</t>
  </si>
  <si>
    <t>ISADORA FEROLLA FIUZA DE ASSIS LTDA</t>
  </si>
  <si>
    <t>62889685000126</t>
  </si>
  <si>
    <t>COROA TECH DESENVOLVIMENTO E SERVICOS EM TECNOLOGIA LTDA</t>
  </si>
  <si>
    <t>13490114000109</t>
  </si>
  <si>
    <t>DELTA ASSESSORIA CONTABIL LTDA</t>
  </si>
  <si>
    <t>29512569000118</t>
  </si>
  <si>
    <t>EVERTON DA SILVA GONCALVES</t>
  </si>
  <si>
    <t>62624837000169</t>
  </si>
  <si>
    <t>SISTEMA GALATEA LTDA</t>
  </si>
  <si>
    <t>62660531000168</t>
  </si>
  <si>
    <t>CAAND CONSULTORIA LTDA</t>
  </si>
  <si>
    <t>61166034000145</t>
  </si>
  <si>
    <t>CASA DE CARNES VIP LTDA</t>
  </si>
  <si>
    <t>41740354000150</t>
  </si>
  <si>
    <t>ARGO FOODS BRASIL LTDA</t>
  </si>
  <si>
    <t>62547969000134</t>
  </si>
  <si>
    <t>CF PEIXOTO CONSULTORIA</t>
  </si>
  <si>
    <t>62564914000132</t>
  </si>
  <si>
    <t>ALGERIS TECH SOLUTION LTDA</t>
  </si>
  <si>
    <t>55529560000120</t>
  </si>
  <si>
    <t>FELICIDADE SERVICO DE EDUCACAO LTDA</t>
  </si>
  <si>
    <t>60256830000106</t>
  </si>
  <si>
    <t>TC COMERCIO E FABRICAO DE BOX LTDA</t>
  </si>
  <si>
    <t>57793869000158</t>
  </si>
  <si>
    <t>MVB TORRES LTDA</t>
  </si>
  <si>
    <t>62097830000136</t>
  </si>
  <si>
    <t>EVERTON THIAGO DA SILVA RAMOS SOCIEDADE INDIVIDUAL DE ADVOCACIA</t>
  </si>
  <si>
    <t>59562497000184</t>
  </si>
  <si>
    <t>NBR ETIQUETAS LTDA</t>
  </si>
  <si>
    <t>61090859000123</t>
  </si>
  <si>
    <t>L S MATOS SOCIEDADE INDIVIDUAL DE ADVOCACIA</t>
  </si>
  <si>
    <t>56142780000169</t>
  </si>
  <si>
    <t>JPW COMERCIO E SERVICOS INDUSTRIAIS LTDA</t>
  </si>
  <si>
    <t>54044785000123</t>
  </si>
  <si>
    <t>BRYARD COMERCIO DE MATERIAL HIDRAULICO ELETRICO E CONSTRUCOES LTDA</t>
  </si>
  <si>
    <t>61722701000129</t>
  </si>
  <si>
    <t>ROSA DOS VENTOS DESPACHANTE NAUTICO LTDA</t>
  </si>
  <si>
    <t>61959387000100</t>
  </si>
  <si>
    <t>CS SERVICOS E PINTURA LTDA</t>
  </si>
  <si>
    <t>41434302000155</t>
  </si>
  <si>
    <t>COSTA GIGLIO SOCIEDADE INDIVIDUAL DE ADVOCACIA</t>
  </si>
  <si>
    <t>62319610000100</t>
  </si>
  <si>
    <t>JOSIMIR DE OLIVEIRA REIS</t>
  </si>
  <si>
    <t>62303308000163</t>
  </si>
  <si>
    <t>ALEXIA FERRAZ PILATES E FISIOTERAPIA LTDA</t>
  </si>
  <si>
    <t>34553117000114</t>
  </si>
  <si>
    <t>REFLOMINAS AGRONEGOCIOS LTDA</t>
  </si>
  <si>
    <t>60707666000106</t>
  </si>
  <si>
    <t>BBB SABORES SEM FRONTEIRAS LTDA</t>
  </si>
  <si>
    <t>50150207000110</t>
  </si>
  <si>
    <t>ACADEMIA SWIM FIT LTDA</t>
  </si>
  <si>
    <t>10966974000188</t>
  </si>
  <si>
    <t>FR QUALYT REPRESENTACOES LTDA</t>
  </si>
  <si>
    <t>62721049000190</t>
  </si>
  <si>
    <t>FAELWIN LTDA</t>
  </si>
  <si>
    <t>46389272000126</t>
  </si>
  <si>
    <t>MKW SERVICES LTDA</t>
  </si>
  <si>
    <t>60305191000121</t>
  </si>
  <si>
    <t>AJO COMERCIO DE PECAS AUTOMOTIVAS LTDA</t>
  </si>
  <si>
    <t>62940528000106</t>
  </si>
  <si>
    <t>FAW DIGITAL LTDA</t>
  </si>
  <si>
    <t>58923759000126</t>
  </si>
  <si>
    <t>GREEN TEAM AMBIENTAL BRASIL LTDA</t>
  </si>
  <si>
    <t>40455546000151</t>
  </si>
  <si>
    <t>RFS MOTOS LTDA</t>
  </si>
  <si>
    <t>62575051000107</t>
  </si>
  <si>
    <t>ANDERSON ALVES DE OLIVEIRA SOCIEDADE INDIVIDUAL DE ADVOCACIA</t>
  </si>
  <si>
    <t>53427849000102</t>
  </si>
  <si>
    <t>TORKER SERVICOS E LOCACOES DE EQUIPAMENTOS LTDA</t>
  </si>
  <si>
    <t>61158435000153</t>
  </si>
  <si>
    <t>CONDOMINIO RESIDENCIAL RECANTO BRISA DO MAR</t>
  </si>
  <si>
    <t>62690204000159</t>
  </si>
  <si>
    <t>L GOMES DE SOUZA</t>
  </si>
  <si>
    <t>31584674000104</t>
  </si>
  <si>
    <t>DISTRIBUIDORA E COMERCIO FRAGA LTDA</t>
  </si>
  <si>
    <t>62690411000103</t>
  </si>
  <si>
    <t>CAROLINE MACHADO SOCIEDADE INDIVIDUAL DE ADVOCACIA</t>
  </si>
  <si>
    <t>61137898000139</t>
  </si>
  <si>
    <t>A DE ASSIS SOUZA GOMES</t>
  </si>
  <si>
    <t>47936134000182</t>
  </si>
  <si>
    <t>RAINHA DAS CAPINHAS E ELETRONICOS LTDA</t>
  </si>
  <si>
    <t>39294684000117</t>
  </si>
  <si>
    <t>MUNDIAL UNIFORMES E CONSTRUCOES LTDA</t>
  </si>
  <si>
    <t>30179143000173</t>
  </si>
  <si>
    <t>COMANDO SEGURANCA E SERVICOS LTDA</t>
  </si>
  <si>
    <t>40812544000172</t>
  </si>
  <si>
    <t>MB SOLUCOES EM TECNOLOGIA LTDA</t>
  </si>
  <si>
    <t>47790893000180</t>
  </si>
  <si>
    <t>CHACAL CONSERVACAO E SERVICOS COMBINADOS LTDA</t>
  </si>
  <si>
    <t>42705353000137</t>
  </si>
  <si>
    <t>LEOMAQ LTDA</t>
  </si>
  <si>
    <t>62721148000172</t>
  </si>
  <si>
    <t>LUANA DE SOUZA PEREIRA</t>
  </si>
  <si>
    <t>42802946000111</t>
  </si>
  <si>
    <t>PRECISAGRO PULVERIZACAO AGRICOLA LTDA</t>
  </si>
  <si>
    <t>59884930000106</t>
  </si>
  <si>
    <t>GEA SOLUCOES INDUSTRIAIS E PREDIAIS LTDA</t>
  </si>
  <si>
    <t>62321664000100</t>
  </si>
  <si>
    <t>DROGARIA PONTO CERTO BH LTDA</t>
  </si>
  <si>
    <t>27285894000160</t>
  </si>
  <si>
    <t>DONDOCA MODAS E ACESSORIOS LTDA</t>
  </si>
  <si>
    <t>62712717000113</t>
  </si>
  <si>
    <t>CK GESTAO EM SERVICOS E EVENTOS LTDA</t>
  </si>
  <si>
    <t>62224200000185</t>
  </si>
  <si>
    <t>IMPERADOR DO ESCONDIDINHO LTDA</t>
  </si>
  <si>
    <t>32683893000103</t>
  </si>
  <si>
    <t>CENTRO AUTOMOTIVO DIAMOND LTDA</t>
  </si>
  <si>
    <t>57635947000196</t>
  </si>
  <si>
    <t>CONECT FARMA LTDA</t>
  </si>
  <si>
    <t>61742860000195</t>
  </si>
  <si>
    <t>MAYARA SOARES DE LIMA SOCIEDADE INDIVIDUAL DE ADVOCACIA</t>
  </si>
  <si>
    <t>62588245000139</t>
  </si>
  <si>
    <t>BC ASSESSORIA LABORATORIAL LTDA</t>
  </si>
  <si>
    <t>58238753000110</t>
  </si>
  <si>
    <t>FACHA CORRETORA DE SEGUROS LTDA</t>
  </si>
  <si>
    <t>62203426000108</t>
  </si>
  <si>
    <t>BARBARA ROCHA RICHTER FONOAUDIOLOGIA</t>
  </si>
  <si>
    <t>47397921000101</t>
  </si>
  <si>
    <t>WESLEI FERREIRA RAMOS</t>
  </si>
  <si>
    <t>31958109000160</t>
  </si>
  <si>
    <t>LUZI LOCACAO DE EQUIPAMENTOS AUDIOVISUAIS LTDA</t>
  </si>
  <si>
    <t>62380897000183</t>
  </si>
  <si>
    <t>JJ CARNES LTDA</t>
  </si>
  <si>
    <t>33622534000109</t>
  </si>
  <si>
    <t>MAURICIO LOPEZ LTDA</t>
  </si>
  <si>
    <t>62701517000165</t>
  </si>
  <si>
    <t>BERITH EDICOES E COMUNICACAO LTDA</t>
  </si>
  <si>
    <t>59552611000195</t>
  </si>
  <si>
    <t>ESCOLA PADUA KIDS LTDA</t>
  </si>
  <si>
    <t>62575065000112</t>
  </si>
  <si>
    <t>ANDERSON GIANAZI SOCIEDADE INDIVIDUAL DE ADVOCACIA</t>
  </si>
  <si>
    <t>62404973000143</t>
  </si>
  <si>
    <t>RICARDO CAMELO DA SILVA SERVICOS LTDA</t>
  </si>
  <si>
    <t>62656188000188</t>
  </si>
  <si>
    <t>CONSULTORIA JARDIM LTDA</t>
  </si>
  <si>
    <t>59029127000186</t>
  </si>
  <si>
    <t>ULISSES LOPES JUNIOR</t>
  </si>
  <si>
    <t>31030630000132</t>
  </si>
  <si>
    <t>FABIANO MATHIAS DA SILVA LTDA</t>
  </si>
  <si>
    <t>62385260000180</t>
  </si>
  <si>
    <t>BARBOZA GESTAO E SOLUCAO LTDA</t>
  </si>
  <si>
    <t>59282256000181</t>
  </si>
  <si>
    <t>THEOS BAR LTDA</t>
  </si>
  <si>
    <t>36039966000180</t>
  </si>
  <si>
    <t>SK CONSULTORIA E ASSESSORIA LTDA</t>
  </si>
  <si>
    <t>58053765000170</t>
  </si>
  <si>
    <t>HR COMPRA E VENDA DE AUTOMOVEIS LTDA</t>
  </si>
  <si>
    <t>22934071000102</t>
  </si>
  <si>
    <t>MARMIG REPRESENTACOES LTDA</t>
  </si>
  <si>
    <t>60287563000134</t>
  </si>
  <si>
    <t>CEBOLA BROWN LTDA</t>
  </si>
  <si>
    <t>07914147000136</t>
  </si>
  <si>
    <t>XTC ASSESSORIA HOTELEIRA E CONDOMINIAL LTDA</t>
  </si>
  <si>
    <t>40932343000109</t>
  </si>
  <si>
    <t>PGRW CONSULTORIA E GESTAO EMPRESARIAL LTDA</t>
  </si>
  <si>
    <t>60250641000126</t>
  </si>
  <si>
    <t>CAIS MARITIMO REPAROS NAVAIS LTDA</t>
  </si>
  <si>
    <t>62563308000100</t>
  </si>
  <si>
    <t>OGM DISTRIBUIDORA LTDA</t>
  </si>
  <si>
    <t>61153316000108</t>
  </si>
  <si>
    <t>RR SAUDE VIDA LTDA</t>
  </si>
  <si>
    <t>49562462000191</t>
  </si>
  <si>
    <t>LETICIA DE PAULA GUERRATO SOCIEDADE INDIVIDUAL DE ADVOCACIA</t>
  </si>
  <si>
    <t>60959826000104</t>
  </si>
  <si>
    <t>CARLOS ALCANTARA SOCIEDADE INDIVIDUAL DE ADVOCACIA</t>
  </si>
  <si>
    <t>59947163000129</t>
  </si>
  <si>
    <t>ASSOCIACAO MPPT SOLAR GERACAO DISTRIBUIDA</t>
  </si>
  <si>
    <t>62137700000180</t>
  </si>
  <si>
    <t>E BARBOSA OLIVEIRA DA SILVA CONSULTORIA EM TECNOLOGIA LTDA</t>
  </si>
  <si>
    <t>55794741000183</t>
  </si>
  <si>
    <t>SC ARQUITETURA LTDA</t>
  </si>
  <si>
    <t>62909300000145</t>
  </si>
  <si>
    <t>M APARICIO MEIGGS ARTESANATOS E ALIMENTOS LTDA</t>
  </si>
  <si>
    <t>38463038000173</t>
  </si>
  <si>
    <t>CASTRO SOCIEDADE INDIVIDUAL DE ADVOCACIA</t>
  </si>
  <si>
    <t>61867681000184</t>
  </si>
  <si>
    <t>UNNE DISTRIBUIDORA DE PRODUTOS ALIMENTICIOS LTDA</t>
  </si>
  <si>
    <t>61451463000164</t>
  </si>
  <si>
    <t>JOAO PAULO FERREIRA</t>
  </si>
  <si>
    <t>62510339000195</t>
  </si>
  <si>
    <t>MB CONTROLADORIA E FINANCAS LTDA</t>
  </si>
  <si>
    <t>28883579000105</t>
  </si>
  <si>
    <t>WANDER JULLIO BORGES LTDA</t>
  </si>
  <si>
    <t>58996768000147</t>
  </si>
  <si>
    <t>SCHMITZ AUTOMOVEIS LTDA</t>
  </si>
  <si>
    <t>61297679000117</t>
  </si>
  <si>
    <t>ATRIO APOIO ADMINISTRATIVO LTDA</t>
  </si>
  <si>
    <t>37819477000103</t>
  </si>
  <si>
    <t>DOCE E EMBALAGEM COMERCIO VAREJISTA LTDA</t>
  </si>
  <si>
    <t>60861212000195</t>
  </si>
  <si>
    <t>A D DOS SANTOS REPRESENTACOES</t>
  </si>
  <si>
    <t>11465208000100</t>
  </si>
  <si>
    <t>COMPUTECK SOLUCOES INTELIGENTES LTDA</t>
  </si>
  <si>
    <t>61724204000160</t>
  </si>
  <si>
    <t>VERDE AUTOCENTER LTDA</t>
  </si>
  <si>
    <t>59867172000100</t>
  </si>
  <si>
    <t>JOSE E LOPES EMPORIO E TRANSPORTES</t>
  </si>
  <si>
    <t>16815578000136</t>
  </si>
  <si>
    <t>FLASH CAR MOBILIDADE URBANA LTDA</t>
  </si>
  <si>
    <t>58744841000193</t>
  </si>
  <si>
    <t>PRIME CLEAN LTDA</t>
  </si>
  <si>
    <t>60348491000198</t>
  </si>
  <si>
    <t>PEDRO DE F MATOS COMERCIAL</t>
  </si>
  <si>
    <t>12413238000128</t>
  </si>
  <si>
    <t>DLPR SERVICOS DE LEGALIZACAO LTDA</t>
  </si>
  <si>
    <t>59685058000169</t>
  </si>
  <si>
    <t>J DA CONCEICAO BEZERRA LTDA</t>
  </si>
  <si>
    <t>54536848000169</t>
  </si>
  <si>
    <t>RICARDO PEIXOTO PRODUCOES LTDA</t>
  </si>
  <si>
    <t>26251947000169</t>
  </si>
  <si>
    <t>MACHADO CORREA SOCIEDADE INDIVIDUAL DE ADVOCACIA</t>
  </si>
  <si>
    <t>59788312000154</t>
  </si>
  <si>
    <t>B L BAR E RESTAURANTE NOVA IGUACU LTDA</t>
  </si>
  <si>
    <t>43371577000112</t>
  </si>
  <si>
    <t>SADS ASSESSORIA EM LICITACOES E CONTRATOS LTDA</t>
  </si>
  <si>
    <t>20601397000184</t>
  </si>
  <si>
    <t>BY YOSH MF MODAS COMERCIO LTDA</t>
  </si>
  <si>
    <t>33645340000129</t>
  </si>
  <si>
    <t>UNICO ESPACO INFANTIL LTDA</t>
  </si>
  <si>
    <t>59105618000169</t>
  </si>
  <si>
    <t>SYNAPSEDATA LTDA</t>
  </si>
  <si>
    <t>20933655000120</t>
  </si>
  <si>
    <t>J PORTO CONSULT LTDA</t>
  </si>
  <si>
    <t>43923624000193</t>
  </si>
  <si>
    <t>CONSOLIDATTO CONSTRUCOES E EMPREENDIMENTOS LTDA</t>
  </si>
  <si>
    <t>62592345000139</t>
  </si>
  <si>
    <t>VICTOR RAYSON SOCIEDADE INDIVIDUAL DE ADVOCACIA</t>
  </si>
  <si>
    <t>58746620000154</t>
  </si>
  <si>
    <t>RESTAURANTE MANANCIAL ELIZIANE LTDA</t>
  </si>
  <si>
    <t>45089727000125</t>
  </si>
  <si>
    <t>CONCRETIZA ENGENHARIA LTDA</t>
  </si>
  <si>
    <t>58842632000182</t>
  </si>
  <si>
    <t>ARQUIA ALIMENTOS LTDA</t>
  </si>
  <si>
    <t>53192791000165</t>
  </si>
  <si>
    <t>MMD INTERMEDIACAO E PRODUCAO DE EVENTOS LTDA</t>
  </si>
  <si>
    <t>60450646000100</t>
  </si>
  <si>
    <t>JOTA PECAS COMERCIAL DE ACESSORIOS AUTOMOTIVOS LTDA</t>
  </si>
  <si>
    <t>49534826000120</t>
  </si>
  <si>
    <t>JORGE RENATO MARCONDES JUNIOR</t>
  </si>
  <si>
    <t>60920801000105</t>
  </si>
  <si>
    <t>RAPHAELLA LOURENCAO LIMA SOCIEDADE INDIVIDUAL DE ADVOCACIA</t>
  </si>
  <si>
    <t>61056476000139</t>
  </si>
  <si>
    <t>DISTRIBUIDORA AGUIA DE OURO LTDA</t>
  </si>
  <si>
    <t>43734420000104</t>
  </si>
  <si>
    <t>A CABECOTES LTDA</t>
  </si>
  <si>
    <t>62842894000114</t>
  </si>
  <si>
    <t>JOZELIA PIMENTEL SOCIEDADE INDIVIDUAL DE ADVOCACIA</t>
  </si>
  <si>
    <t>61505527000162</t>
  </si>
  <si>
    <t>PAULO ROBERTO DE MACEDO BRANDAO SOCIEDADE INDIVIDUAL DE ADVOCACIA</t>
  </si>
  <si>
    <t>62459897000173</t>
  </si>
  <si>
    <t>RENATA FERREIRA SOCIEDADE INDIVIDUAL DE ADVOCACIA</t>
  </si>
  <si>
    <t>62525006000130</t>
  </si>
  <si>
    <t>IZABELA ADJUTO CARDOSO FERNANDES SOCIEDADE INDIVIDUAL DE ADVOCACIA</t>
  </si>
  <si>
    <t>62849379000166</t>
  </si>
  <si>
    <t>LIZANDRA COLOSSI OLIVEIRA SOCIEDADE INDIVIDUAL DE ADVOCACIA</t>
  </si>
  <si>
    <t>62801502000179</t>
  </si>
  <si>
    <t>ANA PAULA IVO FERNANDES SOCIEDADE INDIVIDUAL DE ADVOCACIA</t>
  </si>
  <si>
    <t>42256275000130</t>
  </si>
  <si>
    <t>GLOBALTECH SOLUCOES EM TI E CIBERSEGURANCA LTDA</t>
  </si>
  <si>
    <t>57535550000122</t>
  </si>
  <si>
    <t>FELIPE M C DA SILVA ANA K B CRUZ LTDA</t>
  </si>
  <si>
    <t>62532377000149</t>
  </si>
  <si>
    <t>KENYA ROSSI DUARTE SOCIEDADE INDIVIDUAL DE ADVOCACIA</t>
  </si>
  <si>
    <t>62666671000143</t>
  </si>
  <si>
    <t>GEORGE ALEXANDRIA SOCIEDADE INDIVIDUAL DE ADVOCACIA</t>
  </si>
  <si>
    <t>54598070000112</t>
  </si>
  <si>
    <t>FR SUPRIMENTOS INDUSTRIAIS LTDA</t>
  </si>
  <si>
    <t>60487999000177</t>
  </si>
  <si>
    <t>MORAES GRILL CORTES LTDA</t>
  </si>
  <si>
    <t>62554468000185</t>
  </si>
  <si>
    <t>PAZETI SOCIEDADE INDIVIDUAL DE ADVOCACIA</t>
  </si>
  <si>
    <t>60796233000174</t>
  </si>
  <si>
    <t>KAROL LINO MAKEUP COMERCIO E SERVICOS LTDA</t>
  </si>
  <si>
    <t>62943529000104</t>
  </si>
  <si>
    <t>LARISSA DE BRITO SIMONETTI CORREA PSICOLOGIA E PSICANALISE</t>
  </si>
  <si>
    <t>62880987000133</t>
  </si>
  <si>
    <t>LAI LOCADORA LTDA</t>
  </si>
  <si>
    <t>62495293000182</t>
  </si>
  <si>
    <t>AVILA RIBEIRO ADVOCACIA</t>
  </si>
  <si>
    <t>62857790000183</t>
  </si>
  <si>
    <t>STUDIO MARLEI MARTINS LTDA</t>
  </si>
  <si>
    <t>54972134000101</t>
  </si>
  <si>
    <t>MAX GAS E COZINHA LTDA</t>
  </si>
  <si>
    <t>54350344000150</t>
  </si>
  <si>
    <t>JACQUELINE DE SOUSA ROCHA LTDA</t>
  </si>
  <si>
    <t>61355746000102</t>
  </si>
  <si>
    <t>LEONARDO RIBEIRO SOCIEDADE INDIVIDUAL DE ADVOCACIA</t>
  </si>
  <si>
    <t>50269397000190</t>
  </si>
  <si>
    <t>NATHALIA ARF DA SILVA COMUNICACAO</t>
  </si>
  <si>
    <t>62464198000111</t>
  </si>
  <si>
    <t>CHAMPIONS STAR AGENCIA DE ATLETAS LTDA</t>
  </si>
  <si>
    <t>55046961000129</t>
  </si>
  <si>
    <t>ANDRE LUIS DA SILVA ALEDI LTDA</t>
  </si>
  <si>
    <t>50237490000112</t>
  </si>
  <si>
    <t>AUTO MECANICA CABANA DO OLEO LTDA</t>
  </si>
  <si>
    <t>59345438000154</t>
  </si>
  <si>
    <t>UMMOST UNIDADE MOVEL DE MEDICINA OCUPACIONAL E SEGURANCA DO TRABALHO</t>
  </si>
  <si>
    <t>62030758000120</t>
  </si>
  <si>
    <t>GASTRO BEER BURGER LTDA</t>
  </si>
  <si>
    <t>62380198000133</t>
  </si>
  <si>
    <t>ESCOLA DE EDUCACAO INFANTIL KETLYN ANDRADE OLIVEIRA LTDA</t>
  </si>
  <si>
    <t>62058932000142</t>
  </si>
  <si>
    <t>SOARES SERVICOS ADMINISTRATIVOS LTDA</t>
  </si>
  <si>
    <t>62645548000146</t>
  </si>
  <si>
    <t>JOSUE VINICIUS GOMES MONIS CONDICIONAMENTO FISICO LTDA</t>
  </si>
  <si>
    <t>61866998000104</t>
  </si>
  <si>
    <t>PATRICIA J DA ROCHA SAUDE IC LTDA</t>
  </si>
  <si>
    <t>50457723000192</t>
  </si>
  <si>
    <t>EFICIENCIA ESTUDOS AMBIENTAIS LTDA</t>
  </si>
  <si>
    <t>59037801000174</t>
  </si>
  <si>
    <t>TRANSNERA LTDA</t>
  </si>
  <si>
    <t>18532254000116</t>
  </si>
  <si>
    <t>COLMEIACOR CORRETORA DE SEGUROS E IMOVEIS LTDA</t>
  </si>
  <si>
    <t>17933405000185</t>
  </si>
  <si>
    <t>NEVES E MAZZON ADMINISTRADORA LTDA</t>
  </si>
  <si>
    <t>62409866000108</t>
  </si>
  <si>
    <t>REDA SOLUCOES ADMINISTRATIVAS LTDA</t>
  </si>
  <si>
    <t>62547604000100</t>
  </si>
  <si>
    <t>UEULER BRENO ALMEIDA DA CUNHA LTDA</t>
  </si>
  <si>
    <t>38381144000108</t>
  </si>
  <si>
    <t>MEDICONSULTING CONSULTORIA E MARKETING LTDA</t>
  </si>
  <si>
    <t>27729900000120</t>
  </si>
  <si>
    <t>INSTITUTO ESPACO SEMEAR</t>
  </si>
  <si>
    <t>61190196000119</t>
  </si>
  <si>
    <t>LUEE BEAUTY SALON LTDA</t>
  </si>
  <si>
    <t>50796111000124</t>
  </si>
  <si>
    <t>JM PROMOCOES DE VENDAS LTDA</t>
  </si>
  <si>
    <t>51120173000184</t>
  </si>
  <si>
    <t>REAL GAS COMERCIO VAREJISTA LTDA</t>
  </si>
  <si>
    <t>34958265000119</t>
  </si>
  <si>
    <t>ALEXMAKEUP LTDA</t>
  </si>
  <si>
    <t>46206846000183</t>
  </si>
  <si>
    <t>AUTOPECAS LTDA</t>
  </si>
  <si>
    <t>59299569000142</t>
  </si>
  <si>
    <t>MOREIRA MODAS JK LTDA</t>
  </si>
  <si>
    <t>57467025000117</t>
  </si>
  <si>
    <t>HELMUTH ALBERT REHSE</t>
  </si>
  <si>
    <t>62526088000137</t>
  </si>
  <si>
    <t>IAGORA SOLUCOES TECNOLOGICAS LTDA</t>
  </si>
  <si>
    <t>62619257000183</t>
  </si>
  <si>
    <t>MK SERVICOS DE TECNOLOGIA LTDA</t>
  </si>
  <si>
    <t>57531209000107</t>
  </si>
  <si>
    <t>CCG PSICOLOGIA E TREINAMENTO LTDA</t>
  </si>
  <si>
    <t>03615682000135</t>
  </si>
  <si>
    <t>TOPPUBLIARTEMATERIAIS PARA PUBLICIDADE LTDA</t>
  </si>
  <si>
    <t>38028989000114</t>
  </si>
  <si>
    <t>CLAK TECNOLOGIA LTDA</t>
  </si>
  <si>
    <t>54252240000102</t>
  </si>
  <si>
    <t>CASA DAS FRUTAS E VERDURAS L E A LTDA</t>
  </si>
  <si>
    <t>57772582000141</t>
  </si>
  <si>
    <t>BRITO RODRIGUES SOCIEDADE INDIVIDUAL DE ADVOCACIA</t>
  </si>
  <si>
    <t>47259317000100</t>
  </si>
  <si>
    <t>TRANSPORTES BRASIL MULTIMARCAS LTDA</t>
  </si>
  <si>
    <t>62522639000194</t>
  </si>
  <si>
    <t>ESDRA ROCHA SOCIEDADE INDIVIDUAL DE ADVOCACIA</t>
  </si>
  <si>
    <t>60749424000185</t>
  </si>
  <si>
    <t>T C LOPES TRANSPORTES</t>
  </si>
  <si>
    <t>62048621000100</t>
  </si>
  <si>
    <t>THL FREITAS LTDA</t>
  </si>
  <si>
    <t>46194701000100</t>
  </si>
  <si>
    <t>FERREIRA MARTINS PADARIA E CONFEITARIA LTDA</t>
  </si>
  <si>
    <t>09279493000115</t>
  </si>
  <si>
    <t>CAIO VELLOSO PRODUCOES ARTISTICAS LTDA</t>
  </si>
  <si>
    <t>42057023000182</t>
  </si>
  <si>
    <t>MARDEN CALHEIROS SOCIEDADE INDIVIDUAL DE ADVOCACIA</t>
  </si>
  <si>
    <t>52133266000106</t>
  </si>
  <si>
    <t>G M UBIRAJARA DE ARRUDA LTDA</t>
  </si>
  <si>
    <t>37851993000115</t>
  </si>
  <si>
    <t>MADAME CARIOCA COMERCIO DE ACESSORIOS E BIJUTERIAS LTDA</t>
  </si>
  <si>
    <t>62517959000156</t>
  </si>
  <si>
    <t>S DIEGO BATISTA MORAES LTDA</t>
  </si>
  <si>
    <t>49396791000100</t>
  </si>
  <si>
    <t>JULIO CAIO CALEJON STUMPF SOCIEDADE INDIVIDUAL DE ADVOCACIA</t>
  </si>
  <si>
    <t>62544379000158</t>
  </si>
  <si>
    <t>STRUKTUR ENGENHARIA CIVIL LTDA</t>
  </si>
  <si>
    <t>60912033000130</t>
  </si>
  <si>
    <t>FRANCISCO ABMAEL DE SOUSA SILVA SOCIEDADE INDIVIDUAL DE ADVOCACIA</t>
  </si>
  <si>
    <t>62566325000193</t>
  </si>
  <si>
    <t>RTL ENGENHARIA E PERICIAS LTDA</t>
  </si>
  <si>
    <t>62689314000109</t>
  </si>
  <si>
    <t>THAYANE HERDERICO ENGENHARIA LTDA</t>
  </si>
  <si>
    <t>49699203000107</t>
  </si>
  <si>
    <t>INDUSTRIA E COMERCIO DE MOVEIS PROSPERITA LTDA</t>
  </si>
  <si>
    <t>54457112000103</t>
  </si>
  <si>
    <t>LUISA PAPELARIA E PRESENTE LTDA</t>
  </si>
  <si>
    <t>53924864000166</t>
  </si>
  <si>
    <t>GEOVANE DE MOURA CELESTINO SOCIEDADE INDIVIDUAL DE ADVOCACIA</t>
  </si>
  <si>
    <t>61651400000151</t>
  </si>
  <si>
    <t>JMS ARTEFATOS DE CIMENTO LTDA</t>
  </si>
  <si>
    <t>62063872000156</t>
  </si>
  <si>
    <t>LEANDRO PRADO PROMOCAO DE VENDAS LTDA</t>
  </si>
  <si>
    <t>12910565000195</t>
  </si>
  <si>
    <t>HC PRESTADORA DE SERVICOS URBANOS LTDA</t>
  </si>
  <si>
    <t>62329860000120</t>
  </si>
  <si>
    <t>DISTRIBUIDORA RCM LTDA</t>
  </si>
  <si>
    <t>45768318000155</t>
  </si>
  <si>
    <t>SAULO REPRESENTACOES COMERCIAIS LTDA</t>
  </si>
  <si>
    <t>10273491000106</t>
  </si>
  <si>
    <t>LEAO COMERCIO E REPRESENTACOES DE EMBALAGENS PLASTICAS LTDA</t>
  </si>
  <si>
    <t>51603311000186</t>
  </si>
  <si>
    <t>PROSDECK BUSINESS COMERCIO SERVICOS LTDA</t>
  </si>
  <si>
    <t>07162163000110</t>
  </si>
  <si>
    <t>PADARIA MODELLO LTDA</t>
  </si>
  <si>
    <t>61510751000142</t>
  </si>
  <si>
    <t>JMB PINTURAS LTDA</t>
  </si>
  <si>
    <t>45239026000125</t>
  </si>
  <si>
    <t>RODOVIVA LTDA</t>
  </si>
  <si>
    <t>32617769000140</t>
  </si>
  <si>
    <t>EIXO COMERCIO DE MATERIAIS DE CONSTRUCAO LTDA</t>
  </si>
  <si>
    <t>49939851000193</t>
  </si>
  <si>
    <t>GERALDO GONZAGA JUNIOR MORAIS</t>
  </si>
  <si>
    <t>61360864000109</t>
  </si>
  <si>
    <t>AMA FAIR SOLUCOES EM TECNOLOGIA LTDA</t>
  </si>
  <si>
    <t>18502376000160</t>
  </si>
  <si>
    <t>NAZARIO MORAES SERVICOS ELETRICOS LTDA</t>
  </si>
  <si>
    <t>55717175000106</t>
  </si>
  <si>
    <t>CESAR DIOGO NOGUEIRA DA COSTA LTDA</t>
  </si>
  <si>
    <t>60482654000120</t>
  </si>
  <si>
    <t>JJ FERNANDES APOIO ADMINISTRATIVO LTDA</t>
  </si>
  <si>
    <t>62532373000160</t>
  </si>
  <si>
    <t>ARIANE APARECIDA DE MARINS ANDRADE SOCIEDADE INDIVIDUAL DE ADVOCACIA</t>
  </si>
  <si>
    <t>61636482000165</t>
  </si>
  <si>
    <t>RR LOCADORA DE VEICULOS LTDA</t>
  </si>
  <si>
    <t>62692186000144</t>
  </si>
  <si>
    <t>DENT BOSS MARTELINHO DE OURO LTDA</t>
  </si>
  <si>
    <t>62695858000175</t>
  </si>
  <si>
    <t>RICKLELA CONFECCOES LTDA</t>
  </si>
  <si>
    <t>44287203000186</t>
  </si>
  <si>
    <t>MP CONSTRUCOES E REFORMAS LTDA</t>
  </si>
  <si>
    <t>62336618000184</t>
  </si>
  <si>
    <t>RADIONEL ENGENHARIA E SERVICOS LTDA</t>
  </si>
  <si>
    <t>38350123000125</t>
  </si>
  <si>
    <t>FC SOLUCOES SEGURANCA ELETRONICA LTDA</t>
  </si>
  <si>
    <t>62577616000187</t>
  </si>
  <si>
    <t>LAS CONSULTORIA E VENDAS LTDA</t>
  </si>
  <si>
    <t>62506734000102</t>
  </si>
  <si>
    <t>ALYSSON DE CAMARGO DE OLIVEIRA LTDA</t>
  </si>
  <si>
    <t>62063521000145</t>
  </si>
  <si>
    <t>RASPA DE TACHO COMERCIO IMPORTACAO EXPORTACAO LTDA</t>
  </si>
  <si>
    <t>62870161000193</t>
  </si>
  <si>
    <t>FELIX ENGENHARIA LTDA</t>
  </si>
  <si>
    <t>60648685000109</t>
  </si>
  <si>
    <t>UMAMI LTDA</t>
  </si>
  <si>
    <t>61473194000137</t>
  </si>
  <si>
    <t>AGF SOLUCOES IMOBILIARIAS LTDA</t>
  </si>
  <si>
    <t>52509876000161</t>
  </si>
  <si>
    <t>EQUIPE FP COMERCIO LTDA</t>
  </si>
  <si>
    <t>61727597000165</t>
  </si>
  <si>
    <t>ANA ALTEPARMAKIAN SERVICOS DE FISIOTERAPIA LTDA</t>
  </si>
  <si>
    <t>62518268000177</t>
  </si>
  <si>
    <t>GEOVANA MOURA SOCIEDADE INDIVIDUAL DE ADVOCACIA</t>
  </si>
  <si>
    <t>61640951000110</t>
  </si>
  <si>
    <t>DOCTOR PHYSIO LTDA</t>
  </si>
  <si>
    <t>62225448000160</t>
  </si>
  <si>
    <t>BEATRIZ ALVES SOCIEDADE INDIVIDUAL DE ADVOCACIA</t>
  </si>
  <si>
    <t>27289745000179</t>
  </si>
  <si>
    <t>SOLUCOES ESTRUTURAIS CONSTRUCOES E REFORMAS LTDA</t>
  </si>
  <si>
    <t>58360789000171</t>
  </si>
  <si>
    <t>LF MINI MERCADO SILVA LTDA</t>
  </si>
  <si>
    <t>55253753000109</t>
  </si>
  <si>
    <t>JMS ENGENHARIA E PERICIAS LTDA</t>
  </si>
  <si>
    <t>62170913000103</t>
  </si>
  <si>
    <t>MINI MERCADO BOM JESUS LTDA</t>
  </si>
  <si>
    <t>61616860000149</t>
  </si>
  <si>
    <t>PROJETO GRANDES LAGOS SAO JOSE DO RIO PRETO</t>
  </si>
  <si>
    <t>62404441000106</t>
  </si>
  <si>
    <t>SANTOS MIRANDAS LTDA</t>
  </si>
  <si>
    <t>62610531000153</t>
  </si>
  <si>
    <t>ADEMILSON DORNELAS SOCIEDADE INDIVIDUAL DE ADVOCACIA</t>
  </si>
  <si>
    <t>60125125000170</t>
  </si>
  <si>
    <t>T K ASSISTENCIA TECNICA LTDA</t>
  </si>
  <si>
    <t>59073160000103</t>
  </si>
  <si>
    <t>ISRAEL CRUZ VOLANTES LTDA</t>
  </si>
  <si>
    <t>13400212000108</t>
  </si>
  <si>
    <t>G F VIEIRA CIA LTDA</t>
  </si>
  <si>
    <t>49874174000172</t>
  </si>
  <si>
    <t>MARCELO DE ARAUJO SILVEIRA VAZ LTDA</t>
  </si>
  <si>
    <t>36243621000143</t>
  </si>
  <si>
    <t>LEONILDO DA SILVA LTDA</t>
  </si>
  <si>
    <t>36031634000159</t>
  </si>
  <si>
    <t>TORRES CAR OFICINA MULTIMARCAS PINTURA AUTOMOTIVA LTDA</t>
  </si>
  <si>
    <t>62567205000100</t>
  </si>
  <si>
    <t>DALL AGNOL PROJETOS E CONSTRUCOES LTDA</t>
  </si>
  <si>
    <t>36861869000178</t>
  </si>
  <si>
    <t>EDI BARBERSHOP LTDA</t>
  </si>
  <si>
    <t>28660816000160</t>
  </si>
  <si>
    <t>DINAMIKA REDUTORES BRASIL LTDA</t>
  </si>
  <si>
    <t>62690206000148</t>
  </si>
  <si>
    <t>MG PROJETOS E OBJETOS LTDA</t>
  </si>
  <si>
    <t>28143788000104</t>
  </si>
  <si>
    <t>CLUBE ESCOLAR DESPORTIVO ALEXANDRE VAZ TAVARES</t>
  </si>
  <si>
    <t>28500081000108</t>
  </si>
  <si>
    <t>ADISAMAVI BABY LTDA</t>
  </si>
  <si>
    <t>16103866000168</t>
  </si>
  <si>
    <t>RS TRANSPORTES E FRETAMENTO LTDA</t>
  </si>
  <si>
    <t>20563343000171</t>
  </si>
  <si>
    <t>KG MULTIMARCAS LTDA</t>
  </si>
  <si>
    <t>62864454000168</t>
  </si>
  <si>
    <t>KLEITON RODRIGUES SOCIEDADE INDIVIDUAL DE ADVOCACIA</t>
  </si>
  <si>
    <t>39776699000111</t>
  </si>
  <si>
    <t>REAL AGRO SERVICOS E LOCACOES LTDA</t>
  </si>
  <si>
    <t>36554464000197</t>
  </si>
  <si>
    <t>LAEQUIPE ASSESSORIA ESPORTIVA LTDA</t>
  </si>
  <si>
    <t>59591542000129</t>
  </si>
  <si>
    <t>KIRA AI INOVACAO EM PROJETOS INOVA SIMPLES IS</t>
  </si>
  <si>
    <t>62431981000189</t>
  </si>
  <si>
    <t>CL SERVICOS DE GESTAO LTDA</t>
  </si>
  <si>
    <t>55942228000192</t>
  </si>
  <si>
    <t>C G F CONSTRUCOES MANUTENCOES LTDA</t>
  </si>
  <si>
    <t>35636237000148</t>
  </si>
  <si>
    <t>PRISMA ILUMINACAO LTDA</t>
  </si>
  <si>
    <t>59840555000194</t>
  </si>
  <si>
    <t>TIO DAN ALIMENTOS CONGELADOS LTDA</t>
  </si>
  <si>
    <t>52696310000196</t>
  </si>
  <si>
    <t>ORIAH MOVEIS PLANEJADOS LTDA</t>
  </si>
  <si>
    <t>31699239000125</t>
  </si>
  <si>
    <t>LIVE CONSULTING BRASIL SERVICOS DE SUSTENTABILIDADE LTDA</t>
  </si>
  <si>
    <t>47519784000122</t>
  </si>
  <si>
    <t>E C COMERCIO DE PRODUTOS ALIMENTICIOS NATURAIS LTDA</t>
  </si>
  <si>
    <t>05057098000137</t>
  </si>
  <si>
    <t>LIDERES TREINAMENTOS E SERVICOS LTDA</t>
  </si>
  <si>
    <t>61571085000152</t>
  </si>
  <si>
    <t>OLICAR MULTIMARCAS COMERCIO DE VEICULOS LTDA</t>
  </si>
  <si>
    <t>57380341000157</t>
  </si>
  <si>
    <t>W E DISTRIBUIDORA LTDA</t>
  </si>
  <si>
    <t>51360271000199</t>
  </si>
  <si>
    <t>GUSTAVO NEGRINI ZEQUI GARCIA</t>
  </si>
  <si>
    <t>50877239000112</t>
  </si>
  <si>
    <t>CASA DE CARNE PORTILHO LTDA</t>
  </si>
  <si>
    <t>48329400000171</t>
  </si>
  <si>
    <t>MARQUES AQUINO ACESSORIOS LTDA</t>
  </si>
  <si>
    <t>08689709000158</t>
  </si>
  <si>
    <t>LEAL CIA LTDA</t>
  </si>
  <si>
    <t>22675298000172</t>
  </si>
  <si>
    <t>R R COMERCIO DE CORTINAS E PERSIANAS LTDA</t>
  </si>
  <si>
    <t>48087403000146</t>
  </si>
  <si>
    <t>JUCA REFRIGERACAO LTDA</t>
  </si>
  <si>
    <t>62568403000199</t>
  </si>
  <si>
    <t>SIMIONI REPRESENTACOES E NEGOCIOS LTDA</t>
  </si>
  <si>
    <t>49962195000140</t>
  </si>
  <si>
    <t>PRIME PLAST COMERCIAL LTDA</t>
  </si>
  <si>
    <t>54907110000160</t>
  </si>
  <si>
    <t>ENGENHARIA RASE LTDA</t>
  </si>
  <si>
    <t>17028539000151</t>
  </si>
  <si>
    <t>JENPLEX REPRESENTACAO COMERCIAL LTDA</t>
  </si>
  <si>
    <t>53818015000128</t>
  </si>
  <si>
    <t>EDUARDO BARROSO MOTTA LTDA</t>
  </si>
  <si>
    <t>62418625000125</t>
  </si>
  <si>
    <t>MARTA JULIANA DE CARVALHO FERRAZ SOCIEDADE INDIVIDUAL DE ADVOCACIA</t>
  </si>
  <si>
    <t>26764315000107</t>
  </si>
  <si>
    <t>THIAGO MORAIS SOUSA SOCIEDADE INDIVIDUAL DE ADVOCACIA</t>
  </si>
  <si>
    <t>44062815000170</t>
  </si>
  <si>
    <t>PACE SPORTS LTDA</t>
  </si>
  <si>
    <t>62378498000188</t>
  </si>
  <si>
    <t>BUSCA VEICULOS LTDA</t>
  </si>
  <si>
    <t>61223294000105</t>
  </si>
  <si>
    <t>LOCAFACIL VEICULOS RIO PRETO LTDA</t>
  </si>
  <si>
    <t>29720874000103</t>
  </si>
  <si>
    <t>J C NEVES</t>
  </si>
  <si>
    <t>49636091000145</t>
  </si>
  <si>
    <t>STAR MOURA NOBRE LTDA</t>
  </si>
  <si>
    <t>60224885000134</t>
  </si>
  <si>
    <t>ALEXANDRE COLIN SOCIEDADE INDIVIDUAL DE ADVOCACIA</t>
  </si>
  <si>
    <t>62022674000144</t>
  </si>
  <si>
    <t>GSM REPRESENTACAO LTDA</t>
  </si>
  <si>
    <t>13106277000145</t>
  </si>
  <si>
    <t>L L INFORMATICA LTDA</t>
  </si>
  <si>
    <t>34265285000104</t>
  </si>
  <si>
    <t>GEMAFIX SISTEMAS CONSTRUTIVOS LTDA</t>
  </si>
  <si>
    <t>18020133000195</t>
  </si>
  <si>
    <t>BAULY MATOS E MELLO SOCIEDADE DE ADVOGADOS</t>
  </si>
  <si>
    <t>62526536000100</t>
  </si>
  <si>
    <t>EREPAROS COMERCIO E SERVICOS DE ELETRONICA E INFORMATICA LTDA</t>
  </si>
  <si>
    <t>62536614000140</t>
  </si>
  <si>
    <t>BRUNO HENRIQUE SANTIAGO REIS ENGENHARIA LTDA</t>
  </si>
  <si>
    <t>61527022000107</t>
  </si>
  <si>
    <t>PRYLEX DISTRIBUICAO E MANUTENCAO DE EQUIPAMENTOS LTDA</t>
  </si>
  <si>
    <t>40826585000118</t>
  </si>
  <si>
    <t>HTSS INSTALACOES DO MOBILIARIO LTDA</t>
  </si>
  <si>
    <t>59149110000162</t>
  </si>
  <si>
    <t>AGROPECUARIA COMERCIO SERVICOS LTDA</t>
  </si>
  <si>
    <t>46932678000103</t>
  </si>
  <si>
    <t>L P TRANSPORTE E LOCACAO LTDA</t>
  </si>
  <si>
    <t>47693500000110</t>
  </si>
  <si>
    <t>DELMOBILE MARCENARIA LTDA</t>
  </si>
  <si>
    <t>43003463000110</t>
  </si>
  <si>
    <t>PORTO VERDE NAUTICA LTDA</t>
  </si>
  <si>
    <t>13408153000114</t>
  </si>
  <si>
    <t>A A DA S JUNIOR LTDA</t>
  </si>
  <si>
    <t>54779358000193</t>
  </si>
  <si>
    <t>JOAO HELDER DOMINGUES</t>
  </si>
  <si>
    <t>43608431000148</t>
  </si>
  <si>
    <t>SERGIO RODRIGUES INSTALACOES FOTOVOLTAICAS LTDA</t>
  </si>
  <si>
    <t>62688597000166</t>
  </si>
  <si>
    <t>W SANTOS DE OLIVEIRA ENGENHARIA LTDA</t>
  </si>
  <si>
    <t>62470402000107</t>
  </si>
  <si>
    <t>MURIEL COMERCIO DIGITAL LTDA</t>
  </si>
  <si>
    <t>62323013000159</t>
  </si>
  <si>
    <t>GESFANNES ENERGY SOLUTION LTDA</t>
  </si>
  <si>
    <t>60672931000168</t>
  </si>
  <si>
    <t>CLINICA SOROVITTA BARRA DA TIJUCA LTDA</t>
  </si>
  <si>
    <t>62079430000106</t>
  </si>
  <si>
    <t>INOVAR SERVICOS LTDA</t>
  </si>
  <si>
    <t>41503683000187</t>
  </si>
  <si>
    <t>JACARE VERMELHO PIZZA BAR LTDA</t>
  </si>
  <si>
    <t>59182747000150</t>
  </si>
  <si>
    <t>CAMILA MANUELLE BATISTA DE OLIVEIRA LTDA</t>
  </si>
  <si>
    <t>61164592000171</t>
  </si>
  <si>
    <t>A M B DA SILVA LTDA</t>
  </si>
  <si>
    <t>40395959000198</t>
  </si>
  <si>
    <t>GLP BC LTDA</t>
  </si>
  <si>
    <t>20916504000163</t>
  </si>
  <si>
    <t>MATHEUS TRANSPORTES LTDA</t>
  </si>
  <si>
    <t>61404073000133</t>
  </si>
  <si>
    <t>GOLDSILVER INTERMEDIACOES LTDA</t>
  </si>
  <si>
    <t>43814921000109</t>
  </si>
  <si>
    <t>SERVIRE EVENTOS E SERVICOS LTDA</t>
  </si>
  <si>
    <t>62415118000138</t>
  </si>
  <si>
    <t>M RICARDO CABRAL XIMENES CONSULTORIA EM TECNOLOGIA LTDA</t>
  </si>
  <si>
    <t>62582041000190</t>
  </si>
  <si>
    <t>SERGIO MADUREIRA VAZ SOCIEDADE INDIVIDUAL DE ADVOCACIA</t>
  </si>
  <si>
    <t>61498154000140</t>
  </si>
  <si>
    <t>JULIANA BONATTO AMATO SOCIEDADE INDIVIDUAL DE ADVOCACIA</t>
  </si>
  <si>
    <t>40869966000184</t>
  </si>
  <si>
    <t>ADASTRA TRANSPORTES E OPERACOES LOGISTICAS LTDA</t>
  </si>
  <si>
    <t>62361531000167</t>
  </si>
  <si>
    <t>SRA SINDICA LTDA</t>
  </si>
  <si>
    <t>46859758000180</t>
  </si>
  <si>
    <t>ELOHIM TWO PINTURAS LTDA</t>
  </si>
  <si>
    <t>59670327000113</t>
  </si>
  <si>
    <t>JUSTI PROJECT SOLUTION SERVICOS EMPRESARIAIS LTDA</t>
  </si>
  <si>
    <t>62607450000102</t>
  </si>
  <si>
    <t>RRD AVIATION SPE LTDA</t>
  </si>
  <si>
    <t>62891672000191</t>
  </si>
  <si>
    <t>ALESSANDRO SILVA SOCIEDADE INDIVIDUAL DE ADVOCACIA</t>
  </si>
  <si>
    <t>57068393000192</t>
  </si>
  <si>
    <t>INVESTIMENTOS LTDA</t>
  </si>
  <si>
    <t>62547056000118</t>
  </si>
  <si>
    <t>SCALEFY SUB LTDA</t>
  </si>
  <si>
    <t>05466490000130</t>
  </si>
  <si>
    <t>GL CONSTRUCOES E PLANEJAMENTO LTDA</t>
  </si>
  <si>
    <t>62529769000159</t>
  </si>
  <si>
    <t>MVDA TRANSPORTES LTDA</t>
  </si>
  <si>
    <t>62510400000102</t>
  </si>
  <si>
    <t>DANIELA DANIELS SOCIEDADE INDIVIDUAL DE ADVOCACIA</t>
  </si>
  <si>
    <t>29067073000182</t>
  </si>
  <si>
    <t>AMAPA PRIME COMUNICACAO VISUAL LTDA</t>
  </si>
  <si>
    <t>62541979000162</t>
  </si>
  <si>
    <t>MORALES SOCIEDADE INDIVIDUAL DE ADVOCACIA</t>
  </si>
  <si>
    <t>47434115000158</t>
  </si>
  <si>
    <t>GARRA SERVICOS ESPECIALIZADOS DE ESCRITORIO LTDA</t>
  </si>
  <si>
    <t>62355694000137</t>
  </si>
  <si>
    <t>PAULO ARAGAO SOCIEDADE INDIVIDUAL DE ADVOCACIA</t>
  </si>
  <si>
    <t>61258524000171</t>
  </si>
  <si>
    <t>KARLA BENITES SUGINO CONSULTORIA E ASSESSORIA EM TECNOLOGIA LTDA</t>
  </si>
  <si>
    <t>41576442000168</t>
  </si>
  <si>
    <t>INOVARIUM CONSULTORIA LTDA</t>
  </si>
  <si>
    <t>34596630000192</t>
  </si>
  <si>
    <t>UNIC ESPACO INTEGRADO DE SAUDE LTDA</t>
  </si>
  <si>
    <t>62657601000129</t>
  </si>
  <si>
    <t>BERNARDO VASCONCELOS ADVOGADOS ASSOCIADOS</t>
  </si>
  <si>
    <t>56057500000114</t>
  </si>
  <si>
    <t>VASF SOLO DO BRASIL LTDA</t>
  </si>
  <si>
    <t>46777411000199</t>
  </si>
  <si>
    <t>MAT ATACADO E VAREJO DE ARTIGOS DO VESTUARIO LTDA</t>
  </si>
  <si>
    <t>61975591000107</t>
  </si>
  <si>
    <t>BAR E RESTAURANTE PEDREIRA LTDA</t>
  </si>
  <si>
    <t>62514530000105</t>
  </si>
  <si>
    <t>FURLAN INTERMEDIACOES COMERCIAIS LTDA</t>
  </si>
  <si>
    <t>17919193000181</t>
  </si>
  <si>
    <t>A C PADILHA COMERCIO SERVICOS LTDA</t>
  </si>
  <si>
    <t>31508551000194</t>
  </si>
  <si>
    <t>VIEIRA VEICULOS LTDA</t>
  </si>
  <si>
    <t>Franciane Roberta Cordeiro</t>
  </si>
  <si>
    <t>Akemi Satomi Paccola</t>
  </si>
  <si>
    <t>Pablo Ricardo Camilo Lopes</t>
  </si>
  <si>
    <t>Nicolas Lopes de Moraes</t>
  </si>
  <si>
    <t>Enzo Bianchi de Marche</t>
  </si>
  <si>
    <t>CASH IN: 1 | DOMICILIO: 2 | SALDO MEDIO: 1 | SPENDING: 0 | CONTA GLOBAL: 0</t>
  </si>
  <si>
    <t>CASH IN: 2 | DOMICILIO: 0 | SALDO MEDIO: 1 | SPENDING: 1 | CONTA GLOBAL: 0</t>
  </si>
  <si>
    <t>CASH IN: 2 | DOMICILIO: 0 | SALDO MEDIO: 4 | SPENDING: 1 | CONTA GLOBAL: 0</t>
  </si>
  <si>
    <t>CASH IN: 2 | DOMICILIO: 1 | SALDO MEDIO: 3 | SPENDING: 0 | CONTA GLOBAL: 0</t>
  </si>
  <si>
    <t>CASH IN: 3 | DOMICILIO: 0 | SALDO MEDIO: 0 | SPENDING: 1 | CONTA GLOBAL: 0</t>
  </si>
  <si>
    <t>CASH IN: 3 | DOMICILIO: 0 | SALDO MEDIO: 0 | SPENDING: 2 | CONTA GLOBAL: 0</t>
  </si>
  <si>
    <t>CASH IN: 3 | DOMICILIO: 1 | SALDO MEDIO: 0 | SPENDING: 0 | CONTA GLOBAL: 0</t>
  </si>
  <si>
    <t>CASH IN: 4 | DOMICILIO: 0 | SALDO MEDIO: 0 | SPENDING: 1 | CONTA GLOBAL: 0</t>
  </si>
  <si>
    <t>CASH IN: 4 | DOMICILIO: 0 | SALDO MEDIO: 4 | SPENDING: 1 | CONTA GLOBAL: 0</t>
  </si>
  <si>
    <t>CASH IN: 4 | DOMICILIO: 1 | SALDO MEDIO: 0 | SPENDING: 0 | CONTA GLOBAL: 0</t>
  </si>
  <si>
    <t>CASH IN: 4 | DOMICILIO: 4 | SALDO MEDIO: 2 | SPENDING: 1 | CONTA GLOBAL: 0</t>
  </si>
  <si>
    <t>36178830000150</t>
  </si>
  <si>
    <t>L L DE COSTA RESTAURANTE LTDA</t>
  </si>
  <si>
    <t>59624571000140</t>
  </si>
  <si>
    <t>IRMAOS TOMATE GRAPE LTDA</t>
  </si>
  <si>
    <t>59156892000167</t>
  </si>
  <si>
    <t>GL CHOCOLATES LTDA</t>
  </si>
  <si>
    <t>42128982000141</t>
  </si>
  <si>
    <t>PE DE VITAMINA EM POTES LTDA</t>
  </si>
  <si>
    <t>59531275000102</t>
  </si>
  <si>
    <t>DORALUCIA LEAL DE OLIVEIRA</t>
  </si>
  <si>
    <t>62231835000100</t>
  </si>
  <si>
    <t>JERONIMO PERES DE QUINTA NETO LTDA</t>
  </si>
  <si>
    <t>63051066000120</t>
  </si>
  <si>
    <t>APEX LUZARDO CONSULTORIA E VENDAS LTDA</t>
  </si>
  <si>
    <t>14498175000185</t>
  </si>
  <si>
    <t>GTECH EMPREENDIMENTOS LTDA</t>
  </si>
  <si>
    <t>61480330000116</t>
  </si>
  <si>
    <t>PIMBA POSTO DE MOLAS LTDA</t>
  </si>
  <si>
    <t>49082715000120</t>
  </si>
  <si>
    <t>R M CALHAS COBERTURAS LTDA</t>
  </si>
  <si>
    <t>07217079000156</t>
  </si>
  <si>
    <t>CEGARRA IMOVEIS LTDA</t>
  </si>
  <si>
    <t>37885040000178</t>
  </si>
  <si>
    <t>BONITO CAPAS LTDA</t>
  </si>
  <si>
    <t>62591867000116</t>
  </si>
  <si>
    <t>TUDO PARA CASA E ATACADISTA LTDA</t>
  </si>
  <si>
    <t>27733420000133</t>
  </si>
  <si>
    <t>INGRID M DE SOUZA LTDA</t>
  </si>
  <si>
    <t>11817879000185</t>
  </si>
  <si>
    <t>ES TREINAMENTOS LTDA</t>
  </si>
  <si>
    <t>22145480000111</t>
  </si>
  <si>
    <t>H DE JESUS RABELO LTDA</t>
  </si>
  <si>
    <t>23985519000171</t>
  </si>
  <si>
    <t>MARLEI FERREIRA SELVINO MARZINOTO LTDA</t>
  </si>
  <si>
    <t>63287662000104</t>
  </si>
  <si>
    <t>PLAY CORRETORA DE SEGUROS E CONSULTORIA LTDA</t>
  </si>
  <si>
    <t>20500356000100</t>
  </si>
  <si>
    <t>FROES SOLUCOES EM TECNOLOGIA DA INFORMACAO LTDA</t>
  </si>
  <si>
    <t>46298198000132</t>
  </si>
  <si>
    <t>FSJ INCORPORADORA LTDA</t>
  </si>
  <si>
    <t>30260526000171</t>
  </si>
  <si>
    <t>ARTH FOTOS LTDA</t>
  </si>
  <si>
    <t>04966823000127</t>
  </si>
  <si>
    <t>ROSANI SILVA DE ARRUDA LTDA</t>
  </si>
  <si>
    <t>22301377000113</t>
  </si>
  <si>
    <t>TAJ MAHAL LTDA</t>
  </si>
  <si>
    <t>62250940000196</t>
  </si>
  <si>
    <t>MARKNYELLE TAYLANE LAURENTINO DA SILVA</t>
  </si>
  <si>
    <t>61683368000196</t>
  </si>
  <si>
    <t>REGIANE SGORLON SOCIEDADE INDIVIDUAL DE ADVOCACIA</t>
  </si>
  <si>
    <t>52326025000183</t>
  </si>
  <si>
    <t>BENEFIT LTDA</t>
  </si>
  <si>
    <t>29337647000195</t>
  </si>
  <si>
    <t>BSH ARTIGOS COLECIONAVEIS LTDA</t>
  </si>
  <si>
    <t>11378224000158</t>
  </si>
  <si>
    <t>RCFACIL DOCUMENTOS E SERVICOS UNIDADE CURITIBA CENTRO LTDA</t>
  </si>
  <si>
    <t>14326974000174</t>
  </si>
  <si>
    <t>A L D FISCHER LTDA</t>
  </si>
  <si>
    <t>29307393000162</t>
  </si>
  <si>
    <t>ASSIS E OLIVEIRA SERVICO DE ESTACIONAMENTO LTDA</t>
  </si>
  <si>
    <t>34735280000106</t>
  </si>
  <si>
    <t>JN TRANSPORTES LTDA</t>
  </si>
  <si>
    <t>41824797000129</t>
  </si>
  <si>
    <t>CLINICA DAIANE TEIXEIRA LTDA</t>
  </si>
  <si>
    <t>17318861000115</t>
  </si>
  <si>
    <t>VALENTINA CONFECCOES LTDA</t>
  </si>
  <si>
    <t>62933132000123</t>
  </si>
  <si>
    <t>RAMOS ORTIZ ALIMENTOS LTDA</t>
  </si>
  <si>
    <t>58336600000105</t>
  </si>
  <si>
    <t>BERNARDI E FORTES LTDA</t>
  </si>
  <si>
    <t>44389629000140</t>
  </si>
  <si>
    <t>JJ SERVICOS DE DIAGNOSTICO POR IMAGEM LTDA</t>
  </si>
  <si>
    <t>42431019000132</t>
  </si>
  <si>
    <t>SILVANA DIAS REPRESENTACAO COMERCIAL LTDA</t>
  </si>
  <si>
    <t>59213910000103</t>
  </si>
  <si>
    <t>PREST SERV DESIGN LTDA</t>
  </si>
  <si>
    <t>61893770000103</t>
  </si>
  <si>
    <t>RESTAURANTE PAIXAO LTDA</t>
  </si>
  <si>
    <t>58806912000135</t>
  </si>
  <si>
    <t>S R S LAJES LTDA</t>
  </si>
  <si>
    <t>15654267000170</t>
  </si>
  <si>
    <t>PURUS FARMA LTDA</t>
  </si>
  <si>
    <t>34350312000147</t>
  </si>
  <si>
    <t>SAUDE ODONTO CONSULTORIO ODONTOLOGICO LTDA</t>
  </si>
  <si>
    <t>24194500000170</t>
  </si>
  <si>
    <t>SEABRA IMOVEL LTDA</t>
  </si>
  <si>
    <t>22043113000107</t>
  </si>
  <si>
    <t>EL BARTO BRINDES E CONFECCOES LTDA</t>
  </si>
  <si>
    <t>31153289000102</t>
  </si>
  <si>
    <t>ISABELA CRISTINA DA SILVEIRA SILVA LTDA</t>
  </si>
  <si>
    <t>15087735000171</t>
  </si>
  <si>
    <t>PORTELLA GOUVEIA LTDA</t>
  </si>
  <si>
    <t>52458100000160</t>
  </si>
  <si>
    <t>N G BARBOSA LTDA</t>
  </si>
  <si>
    <t>39800967000193</t>
  </si>
  <si>
    <t>LETICIA RAMOS DE OLIVEIRA</t>
  </si>
  <si>
    <t>08633330000126</t>
  </si>
  <si>
    <t>ELTON JULIO PIRES SILVA LTDA</t>
  </si>
  <si>
    <t>31659180000141</t>
  </si>
  <si>
    <t>ANGELITA COMERCIO DE ALIMENTOS LTDA</t>
  </si>
  <si>
    <t>61953662000170</t>
  </si>
  <si>
    <t>MLD CONSULTORIA FINANCEIRA LTDA</t>
  </si>
  <si>
    <t>52510410000186</t>
  </si>
  <si>
    <t>MARIO CLEITON SOCIEDADE INDIVIDUAL DE ADVOCACIA</t>
  </si>
  <si>
    <t>54267384000132</t>
  </si>
  <si>
    <t>REALIZAR INVESTIMENTOS IMOBILIARIOS LTDA</t>
  </si>
  <si>
    <t>05326983000174</t>
  </si>
  <si>
    <t>S R CAIXAO CIA LTDA</t>
  </si>
  <si>
    <t>10847368000143</t>
  </si>
  <si>
    <t>REIS COMERCIO LTDA</t>
  </si>
  <si>
    <t>30456082000144</t>
  </si>
  <si>
    <t>R C LOGISTICA TRANSPORTES E REPRESENTACOES LTDA</t>
  </si>
  <si>
    <t>07895172000110</t>
  </si>
  <si>
    <t>GRAND FORTAL CORRETORA DE SEGUROS CURSOS E EVENTOS LTDA</t>
  </si>
  <si>
    <t>36851969000113</t>
  </si>
  <si>
    <t>WF MANUTENCAO INDUSTRIAL LTDA</t>
  </si>
  <si>
    <t>59592042000101</t>
  </si>
  <si>
    <t>SERGIO JOSE DE MELLO</t>
  </si>
  <si>
    <t>28832023000181</t>
  </si>
  <si>
    <t>C PAIVA LTDA</t>
  </si>
  <si>
    <t>43412004000190</t>
  </si>
  <si>
    <t>JSUL DESENTUPIDORA E LIMPADORA LTDA</t>
  </si>
  <si>
    <t>36280617000155</t>
  </si>
  <si>
    <t>RICARDO RICARDO COMERCIO E SERVICOS AUTOMOTIVOS LTDA</t>
  </si>
  <si>
    <t>20056330000106</t>
  </si>
  <si>
    <t>RAFAEL GUSTAVO BUENO</t>
  </si>
  <si>
    <t>56079287000141</t>
  </si>
  <si>
    <t>JC INGRESSO E EVENTOS LTDA</t>
  </si>
  <si>
    <t>41955064000123</t>
  </si>
  <si>
    <t>FLORIFRIOS REPRESENTACAO E COMERCIO LTDA</t>
  </si>
  <si>
    <t>63210070000194</t>
  </si>
  <si>
    <t>A NEVES REPRESENTACAO LTDA</t>
  </si>
  <si>
    <t>62895765000194</t>
  </si>
  <si>
    <t>BAR ROTISSERIA RAMALHO LTDA</t>
  </si>
  <si>
    <t>42198801000153</t>
  </si>
  <si>
    <t>GEMELI MEDICAL LTDA</t>
  </si>
  <si>
    <t>53194554000133</t>
  </si>
  <si>
    <t>AGRO RICO REPRESENTACOES LTDA</t>
  </si>
  <si>
    <t>62834504000164</t>
  </si>
  <si>
    <t>VENERANDO SOLUCOES EM PROJETOS DE TI LTDA</t>
  </si>
  <si>
    <t>58352807000173</t>
  </si>
  <si>
    <t>ENTREMEIOS COMUNICACAO LTDA</t>
  </si>
  <si>
    <t>18952007000179</t>
  </si>
  <si>
    <t>GK COMERCIO DE VIDROS E ESQUADRIAS LTDA</t>
  </si>
  <si>
    <t>40781464000105</t>
  </si>
  <si>
    <t>DESENVOLVIMENTO MOBILE MULTIPLATAFORMA LTDA</t>
  </si>
  <si>
    <t>56416877000112</t>
  </si>
  <si>
    <t>SMIDERLE FONDUE CASA DE EVENTOS LTDA</t>
  </si>
  <si>
    <t>37376127000110</t>
  </si>
  <si>
    <t>IDEAS COMUNICACAO VISUAL E INSULFILM LTDA</t>
  </si>
  <si>
    <t>26592603000113</t>
  </si>
  <si>
    <t>GLV CONSULTORIA LTDA</t>
  </si>
  <si>
    <t>63160807000101</t>
  </si>
  <si>
    <t>DAME TECNOLOGIA LTDA</t>
  </si>
  <si>
    <t>62852831000149</t>
  </si>
  <si>
    <t>CONSTANTINO SOCIEDADE INDIVIDUAL DE ADVOCACIA</t>
  </si>
  <si>
    <t>63141914000192</t>
  </si>
  <si>
    <t>BRASIL TRANSPORTES LTDA</t>
  </si>
  <si>
    <t>63245044000100</t>
  </si>
  <si>
    <t>AMARO SERVICOS LTDA</t>
  </si>
  <si>
    <t>62298942000155</t>
  </si>
  <si>
    <t>GABIOES PEREIRA LTDA</t>
  </si>
  <si>
    <t>63138297000176</t>
  </si>
  <si>
    <t>LANCHONETE E RESTAURANTE FG LTDA</t>
  </si>
  <si>
    <t>03839542000140</t>
  </si>
  <si>
    <t>CREDI CAMINHOES LTDA</t>
  </si>
  <si>
    <t>63048186000179</t>
  </si>
  <si>
    <t>TR OLM LTDA</t>
  </si>
  <si>
    <t>63093873000106</t>
  </si>
  <si>
    <t>PRIVILLEGE CONVENIENCIA E DISTRIBUIDORA LTDA</t>
  </si>
  <si>
    <t>60527917000170</t>
  </si>
  <si>
    <t>PULVE DRONES AGROTECNOLOGIA LTDA</t>
  </si>
  <si>
    <t>42521801000142</t>
  </si>
  <si>
    <t>COMERCIAL HORIZONTE DE TINTAS E PRODUTOS PARA COURO LTDA</t>
  </si>
  <si>
    <t>62489460000182</t>
  </si>
  <si>
    <t>XDRONES BRASIL LTDA</t>
  </si>
  <si>
    <t>62420147000198</t>
  </si>
  <si>
    <t>SOLUCAO EM INOX ARTEFATO LTDA</t>
  </si>
  <si>
    <t>62942671000129</t>
  </si>
  <si>
    <t>GTTEC ASSISTENCIA TECNICA LTDA</t>
  </si>
  <si>
    <t>63396406000155</t>
  </si>
  <si>
    <t>GUTEMBERGUE LOPES DANTAS SOCIEDADE INDIVIDUAL DE ADVOCACIA</t>
  </si>
  <si>
    <t>63137474000108</t>
  </si>
  <si>
    <t>M FONTES ROSA ESTETICA AVANCADA LTDA</t>
  </si>
  <si>
    <t>63141438000100</t>
  </si>
  <si>
    <t>GREENSAR EMPRESA BRASILEIRA DE INGREDIENTES E ADITIVOS PARA INDUSTRIAS DE ALIMENTOS LTDA</t>
  </si>
  <si>
    <t>63267121000114</t>
  </si>
  <si>
    <t>L D ARAGAO SERVICOS DE ENGENHARIA</t>
  </si>
  <si>
    <t>63206868000162</t>
  </si>
  <si>
    <t>CRISTHIANO MAFFEI GOMES SOLUCOES EM TI LTDA</t>
  </si>
  <si>
    <t>63322685000102</t>
  </si>
  <si>
    <t>RESTAURANTE E LANCHONETE LOS BARROS HERMANOS LTDA</t>
  </si>
  <si>
    <t>40781594000130</t>
  </si>
  <si>
    <t>WBA REVISAO E ASSISTENCIA TECNICA LTDA</t>
  </si>
  <si>
    <t>54464158000141</t>
  </si>
  <si>
    <t>CH ENGENHARIA VOLTA REDONDA LTDA</t>
  </si>
  <si>
    <t>63328212000112</t>
  </si>
  <si>
    <t>JG PRIME DISTRIBUIDORA DE PRODUTOS ALIMENTICIOS LTDA</t>
  </si>
  <si>
    <t>62977332000188</t>
  </si>
  <si>
    <t>CORDAXIS ENGENHARIA LTDA</t>
  </si>
  <si>
    <t>63192030000167</t>
  </si>
  <si>
    <t>LUCIANA MAIA GRADIM DALMAZZO PROMOCAO DE VENDAS LTDA</t>
  </si>
  <si>
    <t>63442015000120</t>
  </si>
  <si>
    <t>MIGUEL C S JUNIOR ENGENHARIA LTDA</t>
  </si>
  <si>
    <t>63167102000116</t>
  </si>
  <si>
    <t>SIDFE DO BRASIL SISTEMA DE DADOS FINANCEIROS E ECONOMICOS DO BRASIL LTDA</t>
  </si>
  <si>
    <t>62495517000156</t>
  </si>
  <si>
    <t>RF CONSULTORIA E GERENCIAMENTO LTDA</t>
  </si>
  <si>
    <t>63205996000191</t>
  </si>
  <si>
    <t>FAW PROJETOS E ENGENHARIA LTDA</t>
  </si>
  <si>
    <t>62907093000190</t>
  </si>
  <si>
    <t>ADILSON LOURENCONI SERVICOS DE ENGENHARIA LTDA</t>
  </si>
  <si>
    <t>44091205000103</t>
  </si>
  <si>
    <t>BIGCOLOR INDUSTRIA E COMERCIO DE TINTAS E PRODUTOS ESPECIAIS LTDA</t>
  </si>
  <si>
    <t>63370328000110</t>
  </si>
  <si>
    <t>GABRIEL SILVA DE SOUSA</t>
  </si>
  <si>
    <t>62890086000122</t>
  </si>
  <si>
    <t>JOELINE ARAUJO SOUZA SOCIEDADE INDIVIDUAL DE ADVOCACIA</t>
  </si>
  <si>
    <t>63137069000181</t>
  </si>
  <si>
    <t>R M FERNANDES SERVICOS DE ENGENHARIA LTDA</t>
  </si>
  <si>
    <t>62141835000119</t>
  </si>
  <si>
    <t>RENOVO RENTAL LTDA</t>
  </si>
  <si>
    <t>63355510000100</t>
  </si>
  <si>
    <t>CHELL AIR SERVICOS AEREOS LTDA</t>
  </si>
  <si>
    <t>28093293000118</t>
  </si>
  <si>
    <t>LU LU REPRESENTACAO COMERCIAL LTDA</t>
  </si>
  <si>
    <t>62633772000118</t>
  </si>
  <si>
    <t>MARCELO BIGGI</t>
  </si>
  <si>
    <t>62948118000101</t>
  </si>
  <si>
    <t>FREITAS GAVIOLLI ADVOCACIA</t>
  </si>
  <si>
    <t>63004702000163</t>
  </si>
  <si>
    <t>MOURA PSICOLOGIA LTDA</t>
  </si>
  <si>
    <t>63125317000174</t>
  </si>
  <si>
    <t>RENANS ASSESSORIA EDUCACIONAL LTDA</t>
  </si>
  <si>
    <t>62941947000154</t>
  </si>
  <si>
    <t>SYSVALE TECNOLOGIA LTDA</t>
  </si>
  <si>
    <t>63401510000190</t>
  </si>
  <si>
    <t>BUENO SERVICOS DE ENGENHARIA LTDA</t>
  </si>
  <si>
    <t>62810050000191</t>
  </si>
  <si>
    <t>LUANNA DUARTE SILVA ESPACO DE BELEZA</t>
  </si>
  <si>
    <t>63116667000174</t>
  </si>
  <si>
    <t>IDP ENGENHARIA LTDA</t>
  </si>
  <si>
    <t>62522773000195</t>
  </si>
  <si>
    <t>MR FISIOTERAPIA LTDA</t>
  </si>
  <si>
    <t>60060436000106</t>
  </si>
  <si>
    <t>PREMIUM COMERCIO DE PECAS LTDA</t>
  </si>
  <si>
    <t>49458471000137</t>
  </si>
  <si>
    <t>AUTO CENTER AGW MIRANDA LTDA</t>
  </si>
  <si>
    <t>35497451000160</t>
  </si>
  <si>
    <t>AILSON DIAS PEREIRA</t>
  </si>
  <si>
    <t>20452680000191</t>
  </si>
  <si>
    <t>ESTUDIO SINTESE FOTOGRAFIAS E FILMAGENS LTDA</t>
  </si>
  <si>
    <t>60539253000160</t>
  </si>
  <si>
    <t>ALVES PIRES INVESTIMENTOS LTDA</t>
  </si>
  <si>
    <t>61167005000106</t>
  </si>
  <si>
    <t>DIEGO VALDEMAR DO NASCIMENTO FERNANDES E OUTROS</t>
  </si>
  <si>
    <t>37870272000152</t>
  </si>
  <si>
    <t>TSP REPRESENTACAO COMERCIAL LTDA</t>
  </si>
  <si>
    <t>40710820000191</t>
  </si>
  <si>
    <t>EDILCIANE ALVES DA SILVA ANDRADE LTDA</t>
  </si>
  <si>
    <t>47095028000113</t>
  </si>
  <si>
    <t>GARAGEM MULTIMARCAS LTDA</t>
  </si>
  <si>
    <t>58145761000111</t>
  </si>
  <si>
    <t>GOLD REFORMAS E CONSTRUCOES LTDA</t>
  </si>
  <si>
    <t>49036091000104</t>
  </si>
  <si>
    <t>LG CONTABILIDADE LTDA</t>
  </si>
  <si>
    <t>62032264000184</t>
  </si>
  <si>
    <t>MEDEIROS MARENDAZ TECNOLOGIA DA SUPLEMENTACAO LTDA</t>
  </si>
  <si>
    <t>62089379000105</t>
  </si>
  <si>
    <t>FEREZIN SOCIEDADE INDIVIDUAL DE ADVOCACIA</t>
  </si>
  <si>
    <t>49979934000106</t>
  </si>
  <si>
    <t>DANILO ALENCAR SOCIEDADE INDIVIDUAL DE ADVOCACIA</t>
  </si>
  <si>
    <t>36454978000170</t>
  </si>
  <si>
    <t>CM DA ROCHA COMERCIO DE PECAS E ACESSORIOS LTDA</t>
  </si>
  <si>
    <t>62032481000174</t>
  </si>
  <si>
    <t>Y RODRIGUES DE ALMEIDA</t>
  </si>
  <si>
    <t>42561111000117</t>
  </si>
  <si>
    <t>DANNIELA BUENO PSICOTERAPIAS LTDA</t>
  </si>
  <si>
    <t>20089540000109</t>
  </si>
  <si>
    <t>ETNICA CONSULTORIA E GESTAO SOCIOAMBIENTAL LTDA</t>
  </si>
  <si>
    <t>14201979000170</t>
  </si>
  <si>
    <t>CTC TORNEIRO MANUTENCAO E CONSERVACAO LTDA</t>
  </si>
  <si>
    <t>57644941000185</t>
  </si>
  <si>
    <t>AMM ROSA TRANSPORTES LTDA</t>
  </si>
  <si>
    <t>49832896000164</t>
  </si>
  <si>
    <t>COWBOY DOS SUPLEMENTOS LTDA</t>
  </si>
  <si>
    <t>62567115000110</t>
  </si>
  <si>
    <t>ROBERTO SAMPAIO JUNIOR SOCIEDADE INDIVIDUAL DE ADVOCACIA</t>
  </si>
  <si>
    <t>59187833000156</t>
  </si>
  <si>
    <t>JULIANA DE MOURA MEIRELES SOCIEDADE INDIVIDUAL DE ADVOCACIA</t>
  </si>
  <si>
    <t>59197189000105</t>
  </si>
  <si>
    <t>EVAILSA REGO SOCIEDADE INDIVIDUAL DE ADVOCACIA</t>
  </si>
  <si>
    <t>63004255000142</t>
  </si>
  <si>
    <t>GABRIELA MIRANDA SANTOS ENGENHARIA LTDA</t>
  </si>
  <si>
    <t>47511197000197</t>
  </si>
  <si>
    <t>URBOS ENGENHARIA E CONSTRUCOES LTDA</t>
  </si>
  <si>
    <t>59762695000191</t>
  </si>
  <si>
    <t>D B AMARAL</t>
  </si>
  <si>
    <t>23153149000106</t>
  </si>
  <si>
    <t>MIXOMAGIA FOOD SERVICE LTDA</t>
  </si>
  <si>
    <t>60051480000141</t>
  </si>
  <si>
    <t>ELLO BEM ESTAR E COWORKING LTDA</t>
  </si>
  <si>
    <t>52190936000126</t>
  </si>
  <si>
    <t>CONFECCAO FILTROS SAO ROQUE LTDA</t>
  </si>
  <si>
    <t>52137584000145</t>
  </si>
  <si>
    <t>ONCAS LOBOS E ARARAS REPRESENTACOES COMERCIAIS LTDA</t>
  </si>
  <si>
    <t>52246946000136</t>
  </si>
  <si>
    <t>AVANTE FILMAGENS AEREAS LTDA</t>
  </si>
  <si>
    <t>24659819000123</t>
  </si>
  <si>
    <t>COCO BOM SENA LTDA</t>
  </si>
  <si>
    <t>59138874000152</t>
  </si>
  <si>
    <t>SENA NEGOCIACAO E COBRANCA LTDA</t>
  </si>
  <si>
    <t>29100749000192</t>
  </si>
  <si>
    <t>GOLD STILOS SERVICE LTDA</t>
  </si>
  <si>
    <t>30145423000160</t>
  </si>
  <si>
    <t>ANDRE CAMPOS BATISTA SOCIEDADE INDIVIDUAL DE ADVOCACIA</t>
  </si>
  <si>
    <t>38583903000115</t>
  </si>
  <si>
    <t>PAULO ALEXANDRE VICENTE</t>
  </si>
  <si>
    <t>17243875000117</t>
  </si>
  <si>
    <t>A PREDIAL BOMBAS LTDA</t>
  </si>
  <si>
    <t>50713762000103</t>
  </si>
  <si>
    <t>HDTECH SISTEMAS LTDA</t>
  </si>
  <si>
    <t>50236325000146</t>
  </si>
  <si>
    <t>PATRICIA VICENTE CARDOSO LTDA</t>
  </si>
  <si>
    <t>13391643000155</t>
  </si>
  <si>
    <t>J F DUARTE LTDA</t>
  </si>
  <si>
    <t>19667741000159</t>
  </si>
  <si>
    <t>SOLID UP LTDA</t>
  </si>
  <si>
    <t>15613355000123</t>
  </si>
  <si>
    <t>COMERCIAL SILVA UTILIDADES LTDA</t>
  </si>
  <si>
    <t>34185020000104</t>
  </si>
  <si>
    <t>ANNA SANTANNA ARQUITETURA LTDA</t>
  </si>
  <si>
    <t>63008506000167</t>
  </si>
  <si>
    <t>EMYC LTDA</t>
  </si>
  <si>
    <t>63123182000108</t>
  </si>
  <si>
    <t>CALIFORNIA CORRETORA E ADMINISTRADORA DE SEGUROS LTDA</t>
  </si>
  <si>
    <t>36787270000131</t>
  </si>
  <si>
    <t>CELIA CILENE DE FREITAS PAZ ADVOGADOS ASSOCIADOS</t>
  </si>
  <si>
    <t>59869570000165</t>
  </si>
  <si>
    <t>TEREZA DE OLIVEIRA ABE</t>
  </si>
  <si>
    <t>54060092000124</t>
  </si>
  <si>
    <t>SUPERLIMPA FABRICACAO INSTALACAO E MANUTENCAO LTDA</t>
  </si>
  <si>
    <t>20393059000102</t>
  </si>
  <si>
    <t>FEVER COMERCIO E CONFECCAO DE ROUPAS E ACESSORIOS LTDA</t>
  </si>
  <si>
    <t>66556291000107</t>
  </si>
  <si>
    <t>AUTOCAR ESTETICA AUTOMOTIVA LTDA</t>
  </si>
  <si>
    <t>16851817000103</t>
  </si>
  <si>
    <t>MOVEIS ATALAIA LTDA</t>
  </si>
  <si>
    <t>28418915000130</t>
  </si>
  <si>
    <t>TV CIDADE PRODUCOES LTDA</t>
  </si>
  <si>
    <t>22320878000147</t>
  </si>
  <si>
    <t>TORNIZIELLO ILLUMINAZIONE E DESIGN LTDA</t>
  </si>
  <si>
    <t>45572697000103</t>
  </si>
  <si>
    <t>CASSIANO DE PAULA PRINCE LTDA</t>
  </si>
  <si>
    <t>31554570000157</t>
  </si>
  <si>
    <t>MINI MERCADO DELIVERY DE BEBIDAS E ALIMENTOS LTDA</t>
  </si>
  <si>
    <t>57426592000125</t>
  </si>
  <si>
    <t>SILE STONE MARMORES E GRANITOS LTDA</t>
  </si>
  <si>
    <t>51457415000120</t>
  </si>
  <si>
    <t>PARDIM CLINICA SAUDE E ESTETICA</t>
  </si>
  <si>
    <t>46534675000111</t>
  </si>
  <si>
    <t>ISOTEC MONTAGEM E MANUTENCAO SALA LIMPA LTDA</t>
  </si>
  <si>
    <t>61484121000140</t>
  </si>
  <si>
    <t>MAMEDE COMERCIO DE ALIMENTOS LTDA</t>
  </si>
  <si>
    <t>48057016000167</t>
  </si>
  <si>
    <t>FR DIGITAL COMPANY LTDA</t>
  </si>
  <si>
    <t>32010203000155</t>
  </si>
  <si>
    <t>DONIZETI BENEDITO VICTORELLI</t>
  </si>
  <si>
    <t>22475848000100</t>
  </si>
  <si>
    <t>JURACY MASSONI LIMA</t>
  </si>
  <si>
    <t>60328956000149</t>
  </si>
  <si>
    <t>MERCADO JARDIM MANGUEIRA LTDA</t>
  </si>
  <si>
    <t>04707364000167</t>
  </si>
  <si>
    <t>KALAHARI SERVICOS TECNICOS LTDA</t>
  </si>
  <si>
    <t>34953563000116</t>
  </si>
  <si>
    <t>YASMIN POSSATTO VILLA NOVA LTDA</t>
  </si>
  <si>
    <t>45916807000107</t>
  </si>
  <si>
    <t>FARIAS SERVICOS LTDA</t>
  </si>
  <si>
    <t>62317604000113</t>
  </si>
  <si>
    <t>UCN SAUDE LTDA</t>
  </si>
  <si>
    <t>48432972000181</t>
  </si>
  <si>
    <t>UP LOGISTICA E TRANSPORTES LTDA</t>
  </si>
  <si>
    <t>62787314000133</t>
  </si>
  <si>
    <t>GIANTINI COMERCIO DE GRAOS LTDA</t>
  </si>
  <si>
    <t>34458897000113</t>
  </si>
  <si>
    <t>PROATIVA BRASIL SERVICOS LTDA</t>
  </si>
  <si>
    <t>54750001000182</t>
  </si>
  <si>
    <t>FERNANDO DINIZ ROBSON SANTOS SOCIEDADE INDIVIDUAL DE ADVOCACIA</t>
  </si>
  <si>
    <t>10420019000140</t>
  </si>
  <si>
    <t>METAL X INDUSTRIA MECANICA LTDA</t>
  </si>
  <si>
    <t>40059632000145</t>
  </si>
  <si>
    <t>MAX COMERCIO DE VEICULOS LTDA</t>
  </si>
  <si>
    <t>61193377000107</t>
  </si>
  <si>
    <t>CUSTODIO CONT COMERCIO ASSESSORIA FINANCEIRA E EMPRESARIAL LTDA</t>
  </si>
  <si>
    <t>47724162000136</t>
  </si>
  <si>
    <t>SANTOS FERREIRA AGROPECUARIA LTDA</t>
  </si>
  <si>
    <t>35204954000109</t>
  </si>
  <si>
    <t>J SOTOSKI MARCENARIA LTDA</t>
  </si>
  <si>
    <t>52393112000153</t>
  </si>
  <si>
    <t>GOBBO CONSULTORIA LTDA</t>
  </si>
  <si>
    <t>54773264000107</t>
  </si>
  <si>
    <t>JOAO ADAO MANSILHA CHAFADO</t>
  </si>
  <si>
    <t>30048569000198</t>
  </si>
  <si>
    <t>PADARIA QUE DELICIA PAES LTDA</t>
  </si>
  <si>
    <t>12319591000143</t>
  </si>
  <si>
    <t>TARIK TRANSPORTES LTDA</t>
  </si>
  <si>
    <t>28542745000100</t>
  </si>
  <si>
    <t>JOSE LUIZ NICOLETTI MACHADO</t>
  </si>
  <si>
    <t>51139718000285</t>
  </si>
  <si>
    <t>CENTRO DE ENSINO SUPERIOR BDC LTDA</t>
  </si>
  <si>
    <t>62051219000177</t>
  </si>
  <si>
    <t>LUAN FILIPE SANTOS DOS SANTOS SOCIEDADE INDIVIDUAL DE ADVOCACIA</t>
  </si>
  <si>
    <t>61406540000164</t>
  </si>
  <si>
    <t>BOAVENTURA CARNEIRO ASSOCIADOS LTDA</t>
  </si>
  <si>
    <t>52198712000160</t>
  </si>
  <si>
    <t>DG NEGOCIOS LTDA</t>
  </si>
  <si>
    <t>35495252000113</t>
  </si>
  <si>
    <t>BRASIL GLOBAL INCORPORACAO E EMPREENDIMENTOS IMOBILIARIOS LTDA</t>
  </si>
  <si>
    <t>22648179000120</t>
  </si>
  <si>
    <t>S P DE SOUZA LTDA</t>
  </si>
  <si>
    <t>37991513000111</t>
  </si>
  <si>
    <t>WLOC LOCACAO DE EQUIPAMENTOS LTDA</t>
  </si>
  <si>
    <t>32554906000144</t>
  </si>
  <si>
    <t>CLEBER PUGLIA GOMES SOCIEDADE INDIVIDUAL DE ADVOCACIA</t>
  </si>
  <si>
    <t>57550379000120</t>
  </si>
  <si>
    <t>RENATO RENES DE LUCENA LTDA</t>
  </si>
  <si>
    <t>19558655000108</t>
  </si>
  <si>
    <t>PNEUS E AUTO PECAS PROVERBIO VERSICULO LTDA</t>
  </si>
  <si>
    <t>44843715000181</t>
  </si>
  <si>
    <t>BRASIL AGRICOLA CONSULTORIA LTDA</t>
  </si>
  <si>
    <t>55273942000135</t>
  </si>
  <si>
    <t>NEO INTELIGENCIA ARTIFICIAL LTDA</t>
  </si>
  <si>
    <t>49309292000138</t>
  </si>
  <si>
    <t>LEDSON JOSE DA R VALIM LTDA</t>
  </si>
  <si>
    <t>32570810000170</t>
  </si>
  <si>
    <t>VALENTE INSTALACOES DE RASTREADORES LTDA</t>
  </si>
  <si>
    <t>19946994000161</t>
  </si>
  <si>
    <t>RM COMERCIO DE PLASTICOS LTDA</t>
  </si>
  <si>
    <t>31996272000117</t>
  </si>
  <si>
    <t>NINA KAUFMANN COIFFEUR LTDA</t>
  </si>
  <si>
    <t>54611481000109</t>
  </si>
  <si>
    <t>JAQUELINE DE MIRANDA SANTIAGO LTDA</t>
  </si>
  <si>
    <t>13819402000164</t>
  </si>
  <si>
    <t>CABRAL E FILHOS SERVICOS E PECAS LTDA</t>
  </si>
  <si>
    <t>18835213000107</t>
  </si>
  <si>
    <t>CONSTELACAO PLANETARIOS IDENTIFIQUE BRASIL PRODUCACAO DE EVENTOS LTDA</t>
  </si>
  <si>
    <t>43100073000168</t>
  </si>
  <si>
    <t>QUALYTA ESTRUTURAS METALICAS E CONSTRUCOES LTDA</t>
  </si>
  <si>
    <t>11858447000112</t>
  </si>
  <si>
    <t>BERITH PESCADOS LTDA</t>
  </si>
  <si>
    <t>11097617000193</t>
  </si>
  <si>
    <t>IMPRESSIONE COMERCIO DE MAQUINAS E EQUIPAMENTOS LTDA</t>
  </si>
  <si>
    <t>61356627000174</t>
  </si>
  <si>
    <t>RB FARMA DROGARIA LTDA</t>
  </si>
  <si>
    <t>48207269000170</t>
  </si>
  <si>
    <t>SM REPRESENTACAO COMERCIAL LTDA</t>
  </si>
  <si>
    <t>53096628000107</t>
  </si>
  <si>
    <t>E U P SOARES LTDA</t>
  </si>
  <si>
    <t>40422754000154</t>
  </si>
  <si>
    <t>A T CAMPOS CONSTRUCOES LTDA</t>
  </si>
  <si>
    <t>10658807000170</t>
  </si>
  <si>
    <t>CONSTRUTORA MAGNUS LTDA</t>
  </si>
  <si>
    <t>63011833000178</t>
  </si>
  <si>
    <t>HILQUIAS SIMONTON DE JESUS RIBEIRO</t>
  </si>
  <si>
    <t>11813895000108</t>
  </si>
  <si>
    <t>SUL ENERGY LTDA</t>
  </si>
  <si>
    <t>21342218000102</t>
  </si>
  <si>
    <t>FLORINDA ADJUTO E CAMPOS LTDA</t>
  </si>
  <si>
    <t>52364230000133</t>
  </si>
  <si>
    <t>OTICA MENINO LTDA</t>
  </si>
  <si>
    <t>13686393000180</t>
  </si>
  <si>
    <t>RENATO FLOR DA SILVA LTDA</t>
  </si>
  <si>
    <t>17229285000130</t>
  </si>
  <si>
    <t>PA EQUIPAMENTOS LTDA</t>
  </si>
  <si>
    <t>43385003000101</t>
  </si>
  <si>
    <t>BORTE REPRESENTACAO COMERCIAL LTDA</t>
  </si>
  <si>
    <t>50219243000193</t>
  </si>
  <si>
    <t>SORVETIN COMERCIO DE SORVETES E CONGELADOS LTDA</t>
  </si>
  <si>
    <t>48755328000144</t>
  </si>
  <si>
    <t>JALLA AGRO TELECOM E LOCACOES LTDA</t>
  </si>
  <si>
    <t>60214292000197</t>
  </si>
  <si>
    <t>CR GROWTH MARKETING LTDA</t>
  </si>
  <si>
    <t>59995933000109</t>
  </si>
  <si>
    <t>MURILO DOS SANTOS BRITO</t>
  </si>
  <si>
    <t>11090204000187</t>
  </si>
  <si>
    <t>NATURALLE PISOS E REVESTIMENTOS LTDA</t>
  </si>
  <si>
    <t>60421363000122</t>
  </si>
  <si>
    <t>ANDREA PINHEIRO FISIOTERAPIA LTDA</t>
  </si>
  <si>
    <t>51154783000107</t>
  </si>
  <si>
    <t>RONICAR AUTO CENTER LTDA</t>
  </si>
  <si>
    <t>32030831000100</t>
  </si>
  <si>
    <t>SANDRO ARAUJO SOCIEDADE INDIVIDUAL DE ADVOCACIA</t>
  </si>
  <si>
    <t>41732476000102</t>
  </si>
  <si>
    <t>CHUVA DE PRATA PRATA ACESSORIOS LTDA</t>
  </si>
  <si>
    <t>28827753000194</t>
  </si>
  <si>
    <t>EDINEIDE LUCI MAGALHAES MATIAZZI</t>
  </si>
  <si>
    <t>04498830000141</t>
  </si>
  <si>
    <t>MAXIMA ASSESSORIA E SERVICOS LTDA</t>
  </si>
  <si>
    <t>26449982000197</t>
  </si>
  <si>
    <t>ZERO QUINZE COMERCIO DE ROUPAS E ACESSORIOS LTDA</t>
  </si>
  <si>
    <t>13614074000160</t>
  </si>
  <si>
    <t>KOVALSKI KOVALSKI LTDA</t>
  </si>
  <si>
    <t>61789242000109</t>
  </si>
  <si>
    <t>HK REPRESENTACOES LTDA</t>
  </si>
  <si>
    <t>17869851000178</t>
  </si>
  <si>
    <t>JJ EQUIPAMENTOS AUTOMOTIVOS LTDA</t>
  </si>
  <si>
    <t>32957107000119</t>
  </si>
  <si>
    <t>DENILSON MARTINS FERREIRA LTDA</t>
  </si>
  <si>
    <t>35145147000154</t>
  </si>
  <si>
    <t>DRI MECANICA E HIDRAULICA LTDA</t>
  </si>
  <si>
    <t>49515970000119</t>
  </si>
  <si>
    <t>HAMILTON JOSE RODRIGUES</t>
  </si>
  <si>
    <t>22131589000108</t>
  </si>
  <si>
    <t>A NASCIMENTO CARVALHO CIA LTDA</t>
  </si>
  <si>
    <t>11463409000160</t>
  </si>
  <si>
    <t>COLEGIO MILLENNIUM LTDA</t>
  </si>
  <si>
    <t>46813250000141</t>
  </si>
  <si>
    <t>TN CONSULTORIA COMERCIO E TRANSPORTES LTDA</t>
  </si>
  <si>
    <t>51269257000184</t>
  </si>
  <si>
    <t>A F KUPKA LTDA</t>
  </si>
  <si>
    <t>37309839000116</t>
  </si>
  <si>
    <t>VAREJISSIMO BRASIL LTDA</t>
  </si>
  <si>
    <t>62495271000112</t>
  </si>
  <si>
    <t>GIULIA DE LIMA LTDA</t>
  </si>
  <si>
    <t>52260694000108</t>
  </si>
  <si>
    <t>D FARIAS PINTURAS PREDIAIS LTDA</t>
  </si>
  <si>
    <t>50751277000124</t>
  </si>
  <si>
    <t>TANIA M G SANTOS LTDA</t>
  </si>
  <si>
    <t>38345786000151</t>
  </si>
  <si>
    <t>ALESSANDRA CRISTINA C MARCHETTI LTDA</t>
  </si>
  <si>
    <t>62846294000124</t>
  </si>
  <si>
    <t>VJ CONSULTORIA EM TI LTDA</t>
  </si>
  <si>
    <t>54869933000149</t>
  </si>
  <si>
    <t>M E ALFON VIUDES LTDA</t>
  </si>
  <si>
    <t>61295139000102</t>
  </si>
  <si>
    <t>RESTAURANTE CANTIM DE MINAS LTDA</t>
  </si>
  <si>
    <t>17901418000172</t>
  </si>
  <si>
    <t>MAIS SOLUCOES NEGOCIOS LTDA</t>
  </si>
  <si>
    <t>63129294000176</t>
  </si>
  <si>
    <t>FABRICIO ALMEIDA DUTRA CONSULTORIA EM TECNOLOGIA LTDA</t>
  </si>
  <si>
    <t>57884063000175</t>
  </si>
  <si>
    <t>JERONIMO VIEIRA LOPES SEGUNDO LTDA</t>
  </si>
  <si>
    <t>22987425000179</t>
  </si>
  <si>
    <t>AC CORREA SERVICOS DE INFORMATICA LTDA</t>
  </si>
  <si>
    <t>54799824000100</t>
  </si>
  <si>
    <t>BERTO FERRO VELHO LTDA</t>
  </si>
  <si>
    <t>49445858000159</t>
  </si>
  <si>
    <t>HLM TELECOMUNICACOES LTDA</t>
  </si>
  <si>
    <t>33203729000114</t>
  </si>
  <si>
    <t>DJ TRANSPORTES E LOCACAO LTDA</t>
  </si>
  <si>
    <t>35387669000162</t>
  </si>
  <si>
    <t>MIA BRAND COMERCIO DE ROUPAS LTDA</t>
  </si>
  <si>
    <t>33355597000146</t>
  </si>
  <si>
    <t>KM UTILIDADES PARA CONSTRUCAO LTDA</t>
  </si>
  <si>
    <t>29238564000149</t>
  </si>
  <si>
    <t>CASA DA FERRAGEM LTDA</t>
  </si>
  <si>
    <t>58488898000179</t>
  </si>
  <si>
    <t>DIOGO HENRIQUE MENDES DOS SANTOS</t>
  </si>
  <si>
    <t>34914816000142</t>
  </si>
  <si>
    <t>WR COMERCIO DE VEICULOS MULTIMARCAS LTDA</t>
  </si>
  <si>
    <t>16928290000178</t>
  </si>
  <si>
    <t>CHAMAS GAS SOLUCOES PREDIAIS LTDA</t>
  </si>
  <si>
    <t>48465123000124</t>
  </si>
  <si>
    <t>APARECIDO PEREIRA GODOI DE AZEVEDO LTDA</t>
  </si>
  <si>
    <t>38391811000133</t>
  </si>
  <si>
    <t>GRUPO MB LTDA</t>
  </si>
  <si>
    <t>62361888000145</t>
  </si>
  <si>
    <t>PIOMAQ LTDA</t>
  </si>
  <si>
    <t>36112921000193</t>
  </si>
  <si>
    <t>TMJ CONSULTORIA ADUANEIRA LTDA</t>
  </si>
  <si>
    <t>32138534000175</t>
  </si>
  <si>
    <t>C M DO NASCIMENTO LTDA</t>
  </si>
  <si>
    <t>50742936000166</t>
  </si>
  <si>
    <t>TERRA EMPREENDIMENTOS E LOGISTICA LTDA</t>
  </si>
  <si>
    <t>58688782000183</t>
  </si>
  <si>
    <t>CMR SERVICOS LOCACOES LTDA</t>
  </si>
  <si>
    <t>63110938000184</t>
  </si>
  <si>
    <t>GABRIEL MORGADO SARAIVA MERCHOR LTDA</t>
  </si>
  <si>
    <t>62962825000144</t>
  </si>
  <si>
    <t>THOMAS HENRIQUE GOMES LTDA</t>
  </si>
  <si>
    <t>63047403000106</t>
  </si>
  <si>
    <t>GC TEC</t>
  </si>
  <si>
    <t>63052445000135</t>
  </si>
  <si>
    <t>LVC CONSULTING LTDA</t>
  </si>
  <si>
    <t>62987039000100</t>
  </si>
  <si>
    <t>LSJ CONSULTORIA LTDA</t>
  </si>
  <si>
    <t>52032600000135</t>
  </si>
  <si>
    <t>CS LINE SERVICOS LTDA</t>
  </si>
  <si>
    <t>35614987000119</t>
  </si>
  <si>
    <t>JFS ENGENHARIA LTDA</t>
  </si>
  <si>
    <t>30033733000193</t>
  </si>
  <si>
    <t>T C X PORTELA SERVICOS LTDA</t>
  </si>
  <si>
    <t>62538139000140</t>
  </si>
  <si>
    <t>PRIME METAL SOLDAS ESPECIAIS LTDA</t>
  </si>
  <si>
    <t>62986538000174</t>
  </si>
  <si>
    <t>EZ TECH SOLUCOES EM TECNOLOGIA LTDA</t>
  </si>
  <si>
    <t>33184020000119</t>
  </si>
  <si>
    <t>SERRALHERIA E METALURGICA LEMOS LTDA</t>
  </si>
  <si>
    <t>20898521000115</t>
  </si>
  <si>
    <t>AGRICIO AUTO PECAS LTDA</t>
  </si>
  <si>
    <t>04456792000164</t>
  </si>
  <si>
    <t>GAENCO CONSTRUTORA E COMERCIO LTDA</t>
  </si>
  <si>
    <t>46691081000114</t>
  </si>
  <si>
    <t>LSR PROMOTER LTDA</t>
  </si>
  <si>
    <t>40217024000111</t>
  </si>
  <si>
    <t>E V DOS ANJOS DA SILVA LTDA</t>
  </si>
  <si>
    <t>30777505000128</t>
  </si>
  <si>
    <t>SUPERVISAO H DE PORTARIAS E VIGIAS LTDA</t>
  </si>
  <si>
    <t>03920757000191</t>
  </si>
  <si>
    <t>AGILITY CONSULTING SERVICE LTDA</t>
  </si>
  <si>
    <t>36854232000154</t>
  </si>
  <si>
    <t>RESTAURANTE RABECH CORREIA VASCONCELOS LTDA</t>
  </si>
  <si>
    <t>46366352000166</t>
  </si>
  <si>
    <t>LANCHONETE BURGUER LTDA</t>
  </si>
  <si>
    <t>39472168000135</t>
  </si>
  <si>
    <t>RJ COMERCIO DE MOVEIS PARA SUA CASA LTDA</t>
  </si>
  <si>
    <t>28392178000144</t>
  </si>
  <si>
    <t>MARIA ELIANA SOUZA SOCIEDADE INDIVIDUAL DE ADVOCACIA</t>
  </si>
  <si>
    <t>63130966000163</t>
  </si>
  <si>
    <t>VISSOTTO CONSULTORIA LTDA</t>
  </si>
  <si>
    <t>62025935000180</t>
  </si>
  <si>
    <t>JHONATHAN ASSIS DOS ANJOS LTDA</t>
  </si>
  <si>
    <t>62950194000143</t>
  </si>
  <si>
    <t>WM ART PAISAGISMO LTDA</t>
  </si>
  <si>
    <t>61681814000123</t>
  </si>
  <si>
    <t>VALDIVINO VIEIRA DE LIMA LTDA</t>
  </si>
  <si>
    <t>60683137000110</t>
  </si>
  <si>
    <t>ECO FERRAMENTAS ENGENHARIA E TECNOLOGIA AMBIENTAL LTDA</t>
  </si>
  <si>
    <t>62713926000181</t>
  </si>
  <si>
    <t>CONCEITO MODA MASCULINA LTDA</t>
  </si>
  <si>
    <t>54738140000190</t>
  </si>
  <si>
    <t>PAULO C LAMEIRAO SOCIEDADE INDIVIDUAL DE ADVOCACIA</t>
  </si>
  <si>
    <t>32085889000143</t>
  </si>
  <si>
    <t>CENTRO EQUESTRE HP HORSINHO LTDA</t>
  </si>
  <si>
    <t>32184737000106</t>
  </si>
  <si>
    <t>FORMED FOTOGRAFIAS E FORMATURAS LTDA</t>
  </si>
  <si>
    <t>59420039000100</t>
  </si>
  <si>
    <t>LIMA AGRICOLA IMPORTACAO E EXPORTACAO LTDA</t>
  </si>
  <si>
    <t>46388067000146</t>
  </si>
  <si>
    <t>HR DE MELO ASSESSORIA EMPRESARIAL E PESSOAL LTDA</t>
  </si>
  <si>
    <t>15783552000190</t>
  </si>
  <si>
    <t>ERIVELTON LIMA E SOUZA LTDA</t>
  </si>
  <si>
    <t>50567894000174</t>
  </si>
  <si>
    <t>MC INSTALACOES ELETRICA E HIDRAULICA LTDA</t>
  </si>
  <si>
    <t>63424938000159</t>
  </si>
  <si>
    <t>MAR TECH MANUTENCAO DE MAQUINAS LTDA</t>
  </si>
  <si>
    <t>59190756000193</t>
  </si>
  <si>
    <t>TESLA TEAM COMMAND CENTER LTDA</t>
  </si>
  <si>
    <t>21935106000157</t>
  </si>
  <si>
    <t>FLP SERVICOS E TREINAMENTOS LTDA</t>
  </si>
  <si>
    <t>63032576000150</t>
  </si>
  <si>
    <t>DOUGLAS CORREA LOPES DUARTE LTDA</t>
  </si>
  <si>
    <t>03803805000161</t>
  </si>
  <si>
    <t>GCAR COMERCIAL E LOCADORA LTDA</t>
  </si>
  <si>
    <t>14061941000140</t>
  </si>
  <si>
    <t>MOTTA CARTUCHO E INFORMATICA LTDA</t>
  </si>
  <si>
    <t>60870172000148</t>
  </si>
  <si>
    <t>RAFAELA PINTO DE OLIVEIRA LTDA</t>
  </si>
  <si>
    <t>60981505000106</t>
  </si>
  <si>
    <t>GEOVANNA GRANATELLI MENGON</t>
  </si>
  <si>
    <t>49199955000109</t>
  </si>
  <si>
    <t>CVN INDUSTRIA DE PRODUTOS PERSONALIZADOS LTDA</t>
  </si>
  <si>
    <t>21399961000190</t>
  </si>
  <si>
    <t>ACADEMIA SZYMANSKI LTDA</t>
  </si>
  <si>
    <t>62995853000168</t>
  </si>
  <si>
    <t>SOUL GIRASSOL LTDA</t>
  </si>
  <si>
    <t>63015166000100</t>
  </si>
  <si>
    <t>ISABELLA VILELA JUNQUEIRA</t>
  </si>
  <si>
    <t>54099805000163</t>
  </si>
  <si>
    <t>CM ARTS MARCENARIA LTDA</t>
  </si>
  <si>
    <t>63195996000158</t>
  </si>
  <si>
    <t>ENGELAPA CONSTRUCOES E ENGENHARIA LTDA</t>
  </si>
  <si>
    <t>62762514000131</t>
  </si>
  <si>
    <t>THERESA ALBUQUERQUE SOCIEDADE INDIVIDUAL DE ADVOCACIA</t>
  </si>
  <si>
    <t>07240787000108</t>
  </si>
  <si>
    <t>CENTRO DE REABILITACAO ESPECIALIZADA LTDA</t>
  </si>
  <si>
    <t>40118949000105</t>
  </si>
  <si>
    <t>WEB TEMPO COMUNICACAO LTDA</t>
  </si>
  <si>
    <t>42178019000172</t>
  </si>
  <si>
    <t>RS TRANSPORTES RP LTDA</t>
  </si>
  <si>
    <t>44694777000179</t>
  </si>
  <si>
    <t>MARLON A S DE ALBUQUERQUE LTDA</t>
  </si>
  <si>
    <t>48134117000194</t>
  </si>
  <si>
    <t>HERMANO SOUSA SOCIEDADE INDIVIDUAL DE ADVOCACIA</t>
  </si>
  <si>
    <t>49857762000106</t>
  </si>
  <si>
    <t>HAS TECH GESTAO EM TECNOLOGIA DA INFORMACAO LTDA</t>
  </si>
  <si>
    <t>53442909000166</t>
  </si>
  <si>
    <t>RCM LABS INDUSTRIA QUIMICA LTDA</t>
  </si>
  <si>
    <t>37242230000177</t>
  </si>
  <si>
    <t>NB ATACADISTA DE BEBIDAS E CONVENIENCIA LTDA</t>
  </si>
  <si>
    <t>62806384000191</t>
  </si>
  <si>
    <t>J B DISTRIBUIDORA E COMERCIO DE ALIMENTOS LTDA</t>
  </si>
  <si>
    <t>63212821000101</t>
  </si>
  <si>
    <t>MATEUS RUBIN RODRIGUEZ ENGENHARIA</t>
  </si>
  <si>
    <t>62977395000134</t>
  </si>
  <si>
    <t>D R DA SILVA CRISPIM LTDA</t>
  </si>
  <si>
    <t>63023948000182</t>
  </si>
  <si>
    <t>BARBOZA E ASSOCIADOS LTDA</t>
  </si>
  <si>
    <t>62989385000119</t>
  </si>
  <si>
    <t>FYNEX TECH LTDA</t>
  </si>
  <si>
    <t>59940013000193</t>
  </si>
  <si>
    <t>RS EMPREITEIRA E OBRAS LTDA</t>
  </si>
  <si>
    <t>63433675000144</t>
  </si>
  <si>
    <t>CAUE WEISHEIMER LTDA</t>
  </si>
  <si>
    <t>19883927000145</t>
  </si>
  <si>
    <t>JG TRANSPORTES LTDA</t>
  </si>
  <si>
    <t>63189053000112</t>
  </si>
  <si>
    <t>HG LOCACOES LTDA</t>
  </si>
  <si>
    <t>54953865000100</t>
  </si>
  <si>
    <t>PRISCILA ARAUJO SOCIEDADE INDIVIDUAL DE ADVOCACIA</t>
  </si>
  <si>
    <t>21881472000170</t>
  </si>
  <si>
    <t>F O SERVICOS MEDICOS LTDA</t>
  </si>
  <si>
    <t>50746777000178</t>
  </si>
  <si>
    <t>JPD INDUSTRIA E COMERCIO LTDA</t>
  </si>
  <si>
    <t>31909025000136</t>
  </si>
  <si>
    <t>RODRIGUES MONZATO SERVICOS MEDICOS</t>
  </si>
  <si>
    <t>63315000000109</t>
  </si>
  <si>
    <t>WM SERVICOS AUTOMOTIVOS LTDA</t>
  </si>
  <si>
    <t>33687417000123</t>
  </si>
  <si>
    <t>AGENCIA ABRAKABUUM KIDS LTDA</t>
  </si>
  <si>
    <t>63070947000199</t>
  </si>
  <si>
    <t>ROSANGELA DUTRA SANTANA SOCIEDADE INDIVIDUAL DE ADVOCACIA</t>
  </si>
  <si>
    <t>62943730000183</t>
  </si>
  <si>
    <t>CUSTODIO TECH LTDA</t>
  </si>
  <si>
    <t>62982234000139</t>
  </si>
  <si>
    <t>MILTON ESTETICA ATITUDE</t>
  </si>
  <si>
    <t>62177544000180</t>
  </si>
  <si>
    <t>DPJ FUNILARIA PINTURA E CUSTOMIZACAO LTDA</t>
  </si>
  <si>
    <t>45811918000159</t>
  </si>
  <si>
    <t>LVL FABRICACAO E MONTAGEM LTDA</t>
  </si>
  <si>
    <t>60512294000162</t>
  </si>
  <si>
    <t>LUIZ AUGUSTO CARDOSO ROQUE LTDA</t>
  </si>
  <si>
    <t>57157625000189</t>
  </si>
  <si>
    <t>EMPORIO MINEIRO SGS LTDA</t>
  </si>
  <si>
    <t>50534252000179</t>
  </si>
  <si>
    <t>MORETTO STOPIGLIA LTDA</t>
  </si>
  <si>
    <t>62948553000128</t>
  </si>
  <si>
    <t>BRUNO RABELO MOSAICO LTDA</t>
  </si>
  <si>
    <t>13448384000151</t>
  </si>
  <si>
    <t>DONARIO IMOVEIS E NEGOCIOS LTDA</t>
  </si>
  <si>
    <t>62069470000169</t>
  </si>
  <si>
    <t>DEDE BATERIAS LTDA</t>
  </si>
  <si>
    <t>40993555000104</t>
  </si>
  <si>
    <t>ATACADAO DA MADEIRA MATERIAIS DE CONSTRUCAO LTDA</t>
  </si>
  <si>
    <t>63432318000161</t>
  </si>
  <si>
    <t>LDH REPRESENTACOES LTDA</t>
  </si>
  <si>
    <t>59869960000135</t>
  </si>
  <si>
    <t>LUCIANO ITALO CORREIA BAGOLIN</t>
  </si>
  <si>
    <t>62402849000149</t>
  </si>
  <si>
    <t>A L LOPES DA SILVA CONSTRUCOES</t>
  </si>
  <si>
    <t>11629406000154</t>
  </si>
  <si>
    <t>SONIC COMERCIO E SERVICOS LTDA</t>
  </si>
  <si>
    <t>62701523000112</t>
  </si>
  <si>
    <t>AQUALUX LTDA</t>
  </si>
  <si>
    <t>62864362000188</t>
  </si>
  <si>
    <t>EDILENE MORATTA FURONI SOCIEDADE INDIVIDUAL DE ADVOCACIA</t>
  </si>
  <si>
    <t>56908615000175</t>
  </si>
  <si>
    <t>RONALDO DA CUNHA RODRIGUES</t>
  </si>
  <si>
    <t>63058189000193</t>
  </si>
  <si>
    <t>KIVOTOS LIFE CORRETORA DE SEGUROS LTDA</t>
  </si>
  <si>
    <t>30055985000113</t>
  </si>
  <si>
    <t>AGENCIA DELOS SELECT INTELIGENCIA EM MARKETING LTDA</t>
  </si>
  <si>
    <t>47080777000177</t>
  </si>
  <si>
    <t>INOVE GESTORA DE RECEBIVEIS LTDA</t>
  </si>
  <si>
    <t>33571445000180</t>
  </si>
  <si>
    <t>PAULO SERGIO BARUTA BORRACHARIA LTDA</t>
  </si>
  <si>
    <t>60246830000125</t>
  </si>
  <si>
    <t>SW UNIFORMES LTDA</t>
  </si>
  <si>
    <t>39157004000113</t>
  </si>
  <si>
    <t>FD COMERCIO E REPRESENTACOES LTDA</t>
  </si>
  <si>
    <t>30924677000187</t>
  </si>
  <si>
    <t>BOX CENTRO AUTOMOTIVO LTDA</t>
  </si>
  <si>
    <t>58834184000175</t>
  </si>
  <si>
    <t>FLIMA CONTABILIDADE E CONSULTORIA LTDA</t>
  </si>
  <si>
    <t>34145670000118</t>
  </si>
  <si>
    <t>COMERCIAL JK DISTRIBUIDORA LTDA</t>
  </si>
  <si>
    <t>63268489000105</t>
  </si>
  <si>
    <t>LUIS GUSTAVO R REZENDE SOCIEDADE INDIVIDUAL DE ADVOCACIA</t>
  </si>
  <si>
    <t>32073931000106</t>
  </si>
  <si>
    <t>ELETRO LUZ SERVICOS E INSTALACOES DE ENERGIA SOLAR LTDA</t>
  </si>
  <si>
    <t>17416605000160</t>
  </si>
  <si>
    <t>ANDREZA SANGUINETTI EVENTOS E LOCACOES LTDA</t>
  </si>
  <si>
    <t>62203459000140</t>
  </si>
  <si>
    <t>FF BUSINESS SOLUTIONS LTDA</t>
  </si>
  <si>
    <t>61971292000102</t>
  </si>
  <si>
    <t>CLAUDINEI HORTIFRUTIGRANJEIRO E HORTALICA LTDA</t>
  </si>
  <si>
    <t>58145115000154</t>
  </si>
  <si>
    <t>BOA SORTE FILANTROPIA LTDA</t>
  </si>
  <si>
    <t>25040020000117</t>
  </si>
  <si>
    <t>EULER HENRIQUE GUIMARAES FONSECA LTDA</t>
  </si>
  <si>
    <t>63121961000174</t>
  </si>
  <si>
    <t>MARIANA MATERIAIS DE CONSTRUCAO LTDA</t>
  </si>
  <si>
    <t>63432588000172</t>
  </si>
  <si>
    <t>EMD CLUB LTDA</t>
  </si>
  <si>
    <t>15545311000103</t>
  </si>
  <si>
    <t>RUICY VEICULOS LTDA</t>
  </si>
  <si>
    <t>61617600000198</t>
  </si>
  <si>
    <t>P SERGIO MIRANDA ANDRADE LTDA</t>
  </si>
  <si>
    <t>63355674000129</t>
  </si>
  <si>
    <t>RODRIGO DA SILVA NASCIMENTO SOCIEDADE INDIVIDUAL DE ADVOCACIA</t>
  </si>
  <si>
    <t>59326122000115</t>
  </si>
  <si>
    <t>BRAVOLOG SOLUCOES LOGISTICAS LTDA</t>
  </si>
  <si>
    <t>38659193000160</t>
  </si>
  <si>
    <t>LEANDRO P DA SILVA LTDA</t>
  </si>
  <si>
    <t>62986043000145</t>
  </si>
  <si>
    <t>JMF MULTIMARCAS ZERO KM LTDA</t>
  </si>
  <si>
    <t>63269255000174</t>
  </si>
  <si>
    <t>XYZ TRANSPORTE DE CARGAS LTDA</t>
  </si>
  <si>
    <t>20607788000106</t>
  </si>
  <si>
    <t>A CORRETORA DE SEGUROS E SERVICOS LTDA</t>
  </si>
  <si>
    <t>59001744000173</t>
  </si>
  <si>
    <t>DCARVALHO GESTAO IMOBILIARIA LTDA</t>
  </si>
  <si>
    <t>60133918000130</t>
  </si>
  <si>
    <t>CLAUDIO FERNANDES PROCOPIO SOCIEDADE INDIVIDUAL DE ADVOCACIA</t>
  </si>
  <si>
    <t>24191416000100</t>
  </si>
  <si>
    <t>RODRIGO ARANTES ROSA</t>
  </si>
  <si>
    <t>21582409000133</t>
  </si>
  <si>
    <t>SERGIO DONIZETTI FLAVIO DE LIMA</t>
  </si>
  <si>
    <t>59408798000158</t>
  </si>
  <si>
    <t>N K R MARTINS PET SHOP LTDA</t>
  </si>
  <si>
    <t>28850885000137</t>
  </si>
  <si>
    <t>M OLIVEIRA SOCIEDADE INDIVIDUAL DE ADVOCACIA</t>
  </si>
  <si>
    <t>19608265000103</t>
  </si>
  <si>
    <t>L W P TRANSPORTES LTDA</t>
  </si>
  <si>
    <t>62008965000188</t>
  </si>
  <si>
    <t>JHUANN IMPORTS COMERCIO DE ELETRONICOS LTDA</t>
  </si>
  <si>
    <t>57341370000100</t>
  </si>
  <si>
    <t>RM INOVAR CONSULTORIA E SOLUCOES INTEGRADAS LTDA</t>
  </si>
  <si>
    <t>58194488000115</t>
  </si>
  <si>
    <t>AVXLABSTUDIO ARTE AUDIOVISUAL E TECNOLOGIA LTDA</t>
  </si>
  <si>
    <t>26630281000150</t>
  </si>
  <si>
    <t>ESTACAO DO MAR LTDA</t>
  </si>
  <si>
    <t>37603473000193</t>
  </si>
  <si>
    <t>AUGUSTO BARROS DE MACEDO SOCIEDADE INDIVIDUAL DE ADVOCACIA</t>
  </si>
  <si>
    <t>54517981000178</t>
  </si>
  <si>
    <t>RAFAEL COSTA SOCIEDADE INDIVIDUAL DE ADVOCACIA</t>
  </si>
  <si>
    <t>53994862000143</t>
  </si>
  <si>
    <t>CLINICA DR TIARA SA LTDA</t>
  </si>
  <si>
    <t>29221410000144</t>
  </si>
  <si>
    <t>HRF ENGENHARIA LTDA</t>
  </si>
  <si>
    <t>62223800000129</t>
  </si>
  <si>
    <t>BARCH EYEWEAR COMERCIO DE ACESSORIOS E VESTUARIO LTDA</t>
  </si>
  <si>
    <t>28432804000189</t>
  </si>
  <si>
    <t>INANNA CLINICA DE BIORTOMOLECULAR E ESTETICA LTDA</t>
  </si>
  <si>
    <t>54083006000107</t>
  </si>
  <si>
    <t>THAYNA BORGES LTDA</t>
  </si>
  <si>
    <t>32025977000150</t>
  </si>
  <si>
    <t>MIMOS DE SAMA RESTAURANTE LTDA</t>
  </si>
  <si>
    <t>46745164000149</t>
  </si>
  <si>
    <t>BELLA PIZZARIA LTDA</t>
  </si>
  <si>
    <t>53980642000160</t>
  </si>
  <si>
    <t>I GAMA DOS SANTOS LTDA</t>
  </si>
  <si>
    <t>34930569000178</t>
  </si>
  <si>
    <t>I SOLUCOES EM MARKETING E MIDIAS DIGITAIS LTDA</t>
  </si>
  <si>
    <t>28174034000111</t>
  </si>
  <si>
    <t>FR CORRETORA DE SEGUROS LTDA</t>
  </si>
  <si>
    <t>62606939000151</t>
  </si>
  <si>
    <t>EXATA FINANCEIRA LTDA</t>
  </si>
  <si>
    <t>10368544000164</t>
  </si>
  <si>
    <t>DMX SOLUCOES PREDIAIS LTDA</t>
  </si>
  <si>
    <t>55658933000162</t>
  </si>
  <si>
    <t>JCC TRANSPORTADORA LTDA</t>
  </si>
  <si>
    <t>07793533000117</t>
  </si>
  <si>
    <t>LONG LIFE CONSULTORIA E REPRESENTACAO LTDA</t>
  </si>
  <si>
    <t>27614342000158</t>
  </si>
  <si>
    <t>RESTAURANTE CLUBE A MESA LTDA</t>
  </si>
  <si>
    <t>43439474000147</t>
  </si>
  <si>
    <t>SAO BENTO ARTE EM FERRO LTDA</t>
  </si>
  <si>
    <t>51092535000170</t>
  </si>
  <si>
    <t>KEZIA REPRESENTACAO LTDA</t>
  </si>
  <si>
    <t>10408785000190</t>
  </si>
  <si>
    <t>BRASTEL TELEFONIA LTDA</t>
  </si>
  <si>
    <t>47959313000135</t>
  </si>
  <si>
    <t>MANDELI CIA LTDA</t>
  </si>
  <si>
    <t>61922660000114</t>
  </si>
  <si>
    <t>TRANSBALA TRANSPORTES LTDA</t>
  </si>
  <si>
    <t>55581515000114</t>
  </si>
  <si>
    <t>H B COMERCIO E SERVICOS ELETROELETRONICOS LTDA</t>
  </si>
  <si>
    <t>63118480000100</t>
  </si>
  <si>
    <t>MS JUNQUEIRA LTDA</t>
  </si>
  <si>
    <t>15037049000196</t>
  </si>
  <si>
    <t>QUITANDA PRODUCOES E SOLUCOES CRIATIVAS LTDA</t>
  </si>
  <si>
    <t>50554747000160</t>
  </si>
  <si>
    <t>APM COMERCIO DE CALCADOS VESTUARIO E ACESSORIOS LTDA</t>
  </si>
  <si>
    <t>62319527000130</t>
  </si>
  <si>
    <t>WT VANS VIAGENS E TURISMO LTDA</t>
  </si>
  <si>
    <t>36748158000191</t>
  </si>
  <si>
    <t>SANDOVAL ZEFERINO SOCIEDADE INDIVIDUAL DE ADVOCACIA</t>
  </si>
  <si>
    <t>59057630000145</t>
  </si>
  <si>
    <t>HELITON DOS SANTOS LTDA</t>
  </si>
  <si>
    <t>46157308000146</t>
  </si>
  <si>
    <t>I B CANDIDO LTDA</t>
  </si>
  <si>
    <t>62967580000148</t>
  </si>
  <si>
    <t>INSTITUTO FAMILIA DO PAI</t>
  </si>
  <si>
    <t>35937300000186</t>
  </si>
  <si>
    <t>AXIA TRANSPORTES LTDA</t>
  </si>
  <si>
    <t>29660280000146</t>
  </si>
  <si>
    <t>BENCAO DA CENTRAL MINIMERCADO LTDA</t>
  </si>
  <si>
    <t>23933274000139</t>
  </si>
  <si>
    <t>ELABBORA TECNOLOGIA CONSULTORIA E DESENVOLVIMENTO DE SOFTWARE LTDA</t>
  </si>
  <si>
    <t>57745019000184</t>
  </si>
  <si>
    <t>60088223000184</t>
  </si>
  <si>
    <t>CARPENA SEMINOVOS LOCACAO LTDA</t>
  </si>
  <si>
    <t>50741059000109</t>
  </si>
  <si>
    <t>RESTAURANTE E MARMITARIA DU TONI LTDA</t>
  </si>
  <si>
    <t>52404502000181</t>
  </si>
  <si>
    <t>JONAS E P MAHTOS LTDA</t>
  </si>
  <si>
    <t>38245617000140</t>
  </si>
  <si>
    <t>DAVID RODRIGUES SOCIEDADE INDIVIDUAL DE ADVOCACIA</t>
  </si>
  <si>
    <t>62876790000120</t>
  </si>
  <si>
    <t>NEOSEG ENGENHARIA E SEGURANCA LTDA</t>
  </si>
  <si>
    <t>62363840000176</t>
  </si>
  <si>
    <t>ROVERE LTDA</t>
  </si>
  <si>
    <t>40571017000113</t>
  </si>
  <si>
    <t>M MATOS DE SOUZA REPRESENTANTE COMERCIAL SOCIEDADE UNIPESSOAL LTDA</t>
  </si>
  <si>
    <t>62696696000190</t>
  </si>
  <si>
    <t>MR JOHN TRANSPORTES LTDA</t>
  </si>
  <si>
    <t>37182582000184</t>
  </si>
  <si>
    <t>GRANITEC MARMORES E GRANITOS LTDA</t>
  </si>
  <si>
    <t>62936104000160</t>
  </si>
  <si>
    <t>STEPHANIE SILVA SOCIEDADE INDIVIDUAL DE ADVOCACIA</t>
  </si>
  <si>
    <t>12517407000170</t>
  </si>
  <si>
    <t>ROCHA E CARMO LTDA</t>
  </si>
  <si>
    <t>59812402000133</t>
  </si>
  <si>
    <t>GM CONSTRUTORA E SERVICOS LTDA</t>
  </si>
  <si>
    <t>56905697000102</t>
  </si>
  <si>
    <t>PRISCILA CLAUDIA MOBRICCI</t>
  </si>
  <si>
    <t>61581552000125</t>
  </si>
  <si>
    <t>NEXXUS NET</t>
  </si>
  <si>
    <t>61057400000128</t>
  </si>
  <si>
    <t>CNK REPRESENTACOES LTDA</t>
  </si>
  <si>
    <t>42029555000106</t>
  </si>
  <si>
    <t>SSCOACHING TREINAMENTO E DESENVOLVIMENTO DE PESSOAS LTDA</t>
  </si>
  <si>
    <t>31545032000104</t>
  </si>
  <si>
    <t>ANJOS TUR TRANSPORTES E TURISMO LTDA</t>
  </si>
  <si>
    <t>31691667000101</t>
  </si>
  <si>
    <t>FABIO THOME DA CRUZ SOCIEDADE INDIVIDUAL DE ADVOCACIA</t>
  </si>
  <si>
    <t>61360363000122</t>
  </si>
  <si>
    <t>CLEBER JOSE PEREIRA LEITE</t>
  </si>
  <si>
    <t>48876382000148</t>
  </si>
  <si>
    <t>WORLDTRANS AGENCIAMENTO DE CARGAS LTDA</t>
  </si>
  <si>
    <t>31006748000125</t>
  </si>
  <si>
    <t>MERCADO SARAIVA LTDA</t>
  </si>
  <si>
    <t>18262471000133</t>
  </si>
  <si>
    <t>PCS INSTALACAO E MANUTENCAO LTDA</t>
  </si>
  <si>
    <t>50589047000100</t>
  </si>
  <si>
    <t>TAM SOLUCOES LTDA</t>
  </si>
  <si>
    <t>44649025000196</t>
  </si>
  <si>
    <t>RLM DIGITAL TECNOLOGIA DA INFORMACAO LTDA</t>
  </si>
  <si>
    <t>24852466000183</t>
  </si>
  <si>
    <t>SILVAJOA REPRESENTACOES COMERCIAIS LTDA</t>
  </si>
  <si>
    <t>32981844000157</t>
  </si>
  <si>
    <t>MARMODEKTON MARMORARIA LTDA</t>
  </si>
  <si>
    <t>48751186000147</t>
  </si>
  <si>
    <t>DIAS ESTETICA LTDA</t>
  </si>
  <si>
    <t>44335474000160</t>
  </si>
  <si>
    <t>VS CONSTRUCAO BM LTDA</t>
  </si>
  <si>
    <t>33848304000162</t>
  </si>
  <si>
    <t>PHOTO LUZ PHOTO FILM LTDA</t>
  </si>
  <si>
    <t>29273586000140</t>
  </si>
  <si>
    <t>SEGTECH LTDA</t>
  </si>
  <si>
    <t>63117034000180</t>
  </si>
  <si>
    <t>TATIANA APARECIDA ROMANINI BARRETO FONOAUDIOLOGA</t>
  </si>
  <si>
    <t>07434028000186</t>
  </si>
  <si>
    <t>MEGA EXCLUSIVE CORRETORA DE SEGUROS LTDA</t>
  </si>
  <si>
    <t>26764199000118</t>
  </si>
  <si>
    <t>INSTITUTO INOVAR CONSULTORIA AGROPECUARIA E TREINAMENTOS SISTEMICOS LTDA</t>
  </si>
  <si>
    <t>51241775000190</t>
  </si>
  <si>
    <t>VICTOR VAN VOSSEN KLEIN EMPREENDIMENTOS LTDA</t>
  </si>
  <si>
    <t>22811694000180</t>
  </si>
  <si>
    <t>LEANDRO ARAUJO ZAMPIER LTDA</t>
  </si>
  <si>
    <t>29866856000126</t>
  </si>
  <si>
    <t>LUCIANA DE CASSIA FILGUEIRAS</t>
  </si>
  <si>
    <t>62984006000106</t>
  </si>
  <si>
    <t>JOAO CRISOSTOMO DE OLIVEIRA NETO SOCIEDADE INDIVIDUAL DE ADVOCACIA</t>
  </si>
  <si>
    <t>12936540000160</t>
  </si>
  <si>
    <t>WALL SEMPRE LTDA</t>
  </si>
  <si>
    <t>22791697000107</t>
  </si>
  <si>
    <t>DIONATAN CASTRO AMANCIO CALHAS LTDA</t>
  </si>
  <si>
    <t>36811042000150</t>
  </si>
  <si>
    <t>LEONARDO REPRESENTANTE LTDA</t>
  </si>
  <si>
    <t>62828791000108</t>
  </si>
  <si>
    <t>RAIMUNDO SANTOS CRUZ NETO</t>
  </si>
  <si>
    <t>61242949000192</t>
  </si>
  <si>
    <t>ALESSANDRO RENATO FIOCHI CERVEJARIA</t>
  </si>
  <si>
    <t>62770799000152</t>
  </si>
  <si>
    <t>SO FRIOS REFRIGERACAO LTDA</t>
  </si>
  <si>
    <t>27472476000181</t>
  </si>
  <si>
    <t>JCS SERVICOS TERCEIRIZADOS LTDA</t>
  </si>
  <si>
    <t>50905286000122</t>
  </si>
  <si>
    <t>L A PROMOCAO DE VENDAS LTDA</t>
  </si>
  <si>
    <t>07584524000116</t>
  </si>
  <si>
    <t>R G FLORES IMP EXP LTDA</t>
  </si>
  <si>
    <t>51322185000191</t>
  </si>
  <si>
    <t>MATRITECH FERRAMENTAS LTDA</t>
  </si>
  <si>
    <t>29788586000182</t>
  </si>
  <si>
    <t>ALVES CUNHA SERVICOS E CORRETAGEM LTDA</t>
  </si>
  <si>
    <t>62443912000195</t>
  </si>
  <si>
    <t>LS ENGENHARIA E ARQUITETURA LTDA</t>
  </si>
  <si>
    <t>14637213000133</t>
  </si>
  <si>
    <t>ROYALPEC INDUSTRIA E COMERCIO DE PRODUTOS PARA NUTRICAO ANIMAL LTDA</t>
  </si>
  <si>
    <t>53924778000153</t>
  </si>
  <si>
    <t>DISTRIBUIDORA E ALIMENTOS CANA BRAVA LTDA</t>
  </si>
  <si>
    <t>18820645000136</t>
  </si>
  <si>
    <t>CONCRETOS BR LTDA</t>
  </si>
  <si>
    <t>63111161000172</t>
  </si>
  <si>
    <t>MARCO ANTONIO VIZOTTO CREDITO E COBRANCA LTDA</t>
  </si>
  <si>
    <t>30915709000188</t>
  </si>
  <si>
    <t>NOVA SOLAR ENERGIA LTDA</t>
  </si>
  <si>
    <t>39936936000164</t>
  </si>
  <si>
    <t>MULTIVERSE SERVICE LTDA</t>
  </si>
  <si>
    <t>60004278000169</t>
  </si>
  <si>
    <t>SIMITAN TINTAS LTDA</t>
  </si>
  <si>
    <t>61571769000154</t>
  </si>
  <si>
    <t>RESTAURANTE E LANCHONETE DA JU ARACATUBA LTDA</t>
  </si>
  <si>
    <t>24441166000101</t>
  </si>
  <si>
    <t>EDIFICIO SANTA RITA</t>
  </si>
  <si>
    <t>61382804000197</t>
  </si>
  <si>
    <t>PHS SOLUCOES LTDA</t>
  </si>
  <si>
    <t>30527908000119</t>
  </si>
  <si>
    <t>BEZERRA COSTA DISTRIBUIDORA COMERCIO E SERVICO LTDA</t>
  </si>
  <si>
    <t>62052866000101</t>
  </si>
  <si>
    <t>LUMINE ODONTOLOGIA INTEGRADA LTDA</t>
  </si>
  <si>
    <t>09022854000143</t>
  </si>
  <si>
    <t>MARCELO PEREIRA MATTOS SOCIEDADE INDIVIDUAL DE ADVOCACIA</t>
  </si>
  <si>
    <t>40140418000119</t>
  </si>
  <si>
    <t>CENTERCAR DISTRIBUIDORA DE AUTOPECAS LTDA</t>
  </si>
  <si>
    <t>61422865000130</t>
  </si>
  <si>
    <t>MATHEUS GREGORY DESIGN AUTOMOTIVO LTDA</t>
  </si>
  <si>
    <t>59520884000158</t>
  </si>
  <si>
    <t>FV SERVICOS LTDA</t>
  </si>
  <si>
    <t>62511379000151</t>
  </si>
  <si>
    <t>PEDRAS DO SOLO MARMORES E GRANITOS LTDA</t>
  </si>
  <si>
    <t>16793854000102</t>
  </si>
  <si>
    <t>DECORAR ACRILICOS E MDF LTDA</t>
  </si>
  <si>
    <t>48068747000108</t>
  </si>
  <si>
    <t>CLINICA METAMORFOSE MENTAL LTDA</t>
  </si>
  <si>
    <t>41992588000194</t>
  </si>
  <si>
    <t>O CAMINHO RP COMERCIO ATACADISTA DE MERCADORIAS LTDA</t>
  </si>
  <si>
    <t>59034299000148</t>
  </si>
  <si>
    <t>MH CONSTRUCOES LTDA</t>
  </si>
  <si>
    <t>62898243000146</t>
  </si>
  <si>
    <t>RODRIGUES SANCHES ADVOGADOS ASSOCIADOS</t>
  </si>
  <si>
    <t>13392867000181</t>
  </si>
  <si>
    <t>CERAMICA SOUSA DIAS LTDA</t>
  </si>
  <si>
    <t>24287145000183</t>
  </si>
  <si>
    <t>BASE SEGURANCA DO TRABALHO LTDA</t>
  </si>
  <si>
    <t>14595724000130</t>
  </si>
  <si>
    <t>MRX COSMETICOS LTDA</t>
  </si>
  <si>
    <t>60120074000193</t>
  </si>
  <si>
    <t>DM DAMASCENO JUNIOR</t>
  </si>
  <si>
    <t>24932129000104</t>
  </si>
  <si>
    <t>OTICA DONA VISAO LTDA</t>
  </si>
  <si>
    <t>00679046000189</t>
  </si>
  <si>
    <t>ATTUALE BRINDES SERVICOS DE IMPRESSAO LTDA</t>
  </si>
  <si>
    <t>27139109000160</t>
  </si>
  <si>
    <t>VIVA SAUDE E BEMESTAR LTDA</t>
  </si>
  <si>
    <t>21013066000196</t>
  </si>
  <si>
    <t>K F CONSORCIOS E INVESTIMENTOS LTDA</t>
  </si>
  <si>
    <t>16671636000103</t>
  </si>
  <si>
    <t>CHAVTAXI BIRIGUI LTDA</t>
  </si>
  <si>
    <t>38596608000101</t>
  </si>
  <si>
    <t>LILIA MOTTA IMOVEIS LTDA</t>
  </si>
  <si>
    <t>62844533000107</t>
  </si>
  <si>
    <t>VIA BRASIL SOLAR LTDA</t>
  </si>
  <si>
    <t>62847198000109</t>
  </si>
  <si>
    <t>FABRICIO DORACENZI BOLELLI LTDA</t>
  </si>
  <si>
    <t>63023037000155</t>
  </si>
  <si>
    <t>LUMITUS ASSESSORIA DE SEGUROS LTDA</t>
  </si>
  <si>
    <t>32740421000145</t>
  </si>
  <si>
    <t>ANDREIA CALCADOS LTDA</t>
  </si>
  <si>
    <t>31362682000106</t>
  </si>
  <si>
    <t>RORKS AUTOINDUS LTDA</t>
  </si>
  <si>
    <t>62491765000129</t>
  </si>
  <si>
    <t>RS PSICOTERAPIA E DESENVOLVIMENTO LTDA</t>
  </si>
  <si>
    <t>21716086000123</t>
  </si>
  <si>
    <t>BUFFET MADRID LTDA</t>
  </si>
  <si>
    <t>47949411000191</t>
  </si>
  <si>
    <t>OTAVIO DA CONCEICAO LTDA</t>
  </si>
  <si>
    <t>63127164000102</t>
  </si>
  <si>
    <t>CANDIDO INVESTIMENTOS LTDA</t>
  </si>
  <si>
    <t>63283321000160</t>
  </si>
  <si>
    <t>ROTA DO SOL ARTE RUSTICA LTDA</t>
  </si>
  <si>
    <t>42983621000182</t>
  </si>
  <si>
    <t>REPRESENTACAO GOMES LTDA</t>
  </si>
  <si>
    <t>59227952000195</t>
  </si>
  <si>
    <t>A C S TOIO LTDA</t>
  </si>
  <si>
    <t>58320338000100</t>
  </si>
  <si>
    <t>62919537000107</t>
  </si>
  <si>
    <t>LJ SANTOS TECH LTDA</t>
  </si>
  <si>
    <t>63008127000177</t>
  </si>
  <si>
    <t>MPS PRODUCOES LTDA</t>
  </si>
  <si>
    <t>62537909000130</t>
  </si>
  <si>
    <t>MARTINS SOLUCOES INDUSTRIAIS LTDA</t>
  </si>
  <si>
    <t>60169945000163</t>
  </si>
  <si>
    <t>MECANICA SALES LTDA</t>
  </si>
  <si>
    <t>58571923000183</t>
  </si>
  <si>
    <t>IGOR LIMA ALMEIDA DE GODOI SOCIEDADE INDIVIDUAL DE ADVOCACIA</t>
  </si>
  <si>
    <t>51595244000103</t>
  </si>
  <si>
    <t>CLINICA FEU SERVICOS MEDICOS E PSICOLOGICOS LTDA</t>
  </si>
  <si>
    <t>61188598000189</t>
  </si>
  <si>
    <t>MILTON SILVA CYBER PERICIA LTDA</t>
  </si>
  <si>
    <t>49493270000170</t>
  </si>
  <si>
    <t>LORENA CRISTINA SOUSA ALVES BARBOSA LTDA</t>
  </si>
  <si>
    <t>32876290000128</t>
  </si>
  <si>
    <t>CONCEPT ENGENHARIA CONSTRUCOES E INCORPORACOES LTDA</t>
  </si>
  <si>
    <t>41933846000161</t>
  </si>
  <si>
    <t>LADUCA BAR RESTAURANTE ESPETARIA LTDA</t>
  </si>
  <si>
    <t>48422921000179</t>
  </si>
  <si>
    <t>VOLMIR ELOI SOCIEDADE INDIVIDUAL DE ADVOCACIA</t>
  </si>
  <si>
    <t>33826271000230</t>
  </si>
  <si>
    <t>CELSO ROBERTO DA ROSA MEDEIROS LTDA</t>
  </si>
  <si>
    <t>42153512000138</t>
  </si>
  <si>
    <t>EBN ENGENHARIA DE PERICIA E CONSTRUCAO LTDA</t>
  </si>
  <si>
    <t>58757532000158</t>
  </si>
  <si>
    <t>FISIOCARE ENSINO E REABILITACAO LTDA</t>
  </si>
  <si>
    <t>05296571000139</t>
  </si>
  <si>
    <t>CLINICA DE REABILITACAO E FISIOTERAPIA ANCHIETA SS LTDA</t>
  </si>
  <si>
    <t>06314914000103</t>
  </si>
  <si>
    <t>TREVOTEK IMPORTADORA E DISTRIBUIDORA DE ROLAMENTOS LTDA</t>
  </si>
  <si>
    <t>61906960000100</t>
  </si>
  <si>
    <t>A A GRIZZO ESCRITORIO LTDA</t>
  </si>
  <si>
    <t>46624804000162</t>
  </si>
  <si>
    <t>BIANCA SENA MELO ODONTOLOGIA LTDA</t>
  </si>
  <si>
    <t>61561096000151</t>
  </si>
  <si>
    <t>O CRITICO GASTRONOMICO LTDA</t>
  </si>
  <si>
    <t>22666595000151</t>
  </si>
  <si>
    <t>A R PRODUCOES LTDA</t>
  </si>
  <si>
    <t>14132219000159</t>
  </si>
  <si>
    <t>RFC REPRESENTANTES COMERCIAIS LTDA</t>
  </si>
  <si>
    <t>48745849000110</t>
  </si>
  <si>
    <t>PAF PLANO DE ASSISTENCIA FAMILIAR LTDA</t>
  </si>
  <si>
    <t>60422750000183</t>
  </si>
  <si>
    <t>DCR PRESTACAO DE SERVICOS LTDA</t>
  </si>
  <si>
    <t>60776149000199</t>
  </si>
  <si>
    <t>MORELI ENERGIA LIMPA LTDA</t>
  </si>
  <si>
    <t>19742566000117</t>
  </si>
  <si>
    <t>MARCELINO MENDES PROMOCOES LTDA</t>
  </si>
  <si>
    <t>62673829000102</t>
  </si>
  <si>
    <t>FSA FORTE SOLUCOES AGRICOLA LTDA</t>
  </si>
  <si>
    <t>14148580000173</t>
  </si>
  <si>
    <t>VELPETRO LIFTING SOLUTIONS LTDA</t>
  </si>
  <si>
    <t>34797906000109</t>
  </si>
  <si>
    <t>REINALDO CONSTRUCOES RURAIS LTDA</t>
  </si>
  <si>
    <t>32104469000167</t>
  </si>
  <si>
    <t>GUTTIERREZ MARIOSA SOCIEDADE INDIVIDUAL DE ADVOCACIA</t>
  </si>
  <si>
    <t>07708629000130</t>
  </si>
  <si>
    <t>BRUCAR LOCACOES E TRANSPORTES LTDA</t>
  </si>
  <si>
    <t>06149295000149</t>
  </si>
  <si>
    <t>MISHPAHAH HB MINERIOS LTDA</t>
  </si>
  <si>
    <t>42957984000143</t>
  </si>
  <si>
    <t>PEREIRA ALVES SOCIEDADE INDIVIDUAL DE ADVOCACIA</t>
  </si>
  <si>
    <t>61462620000137</t>
  </si>
  <si>
    <t>ARCOS ARQUITETURA E URBANISMO LTDA</t>
  </si>
  <si>
    <t>51287212000132</t>
  </si>
  <si>
    <t>ANTENA DIGITAL LTDA</t>
  </si>
  <si>
    <t>59031166000118</t>
  </si>
  <si>
    <t>PABLO COLETA SOCIEDADE INDIVIDUAL DE ADVOCACIA</t>
  </si>
  <si>
    <t>60953501000114</t>
  </si>
  <si>
    <t>PMS COMUNICACAO LTDA</t>
  </si>
  <si>
    <t>57806661000126</t>
  </si>
  <si>
    <t>CASA REPAROS LTDA</t>
  </si>
  <si>
    <t>43386376000199</t>
  </si>
  <si>
    <t>ALPHAVOLT CONSULTORIA E ENGENHARIA LTDA</t>
  </si>
  <si>
    <t>28452243000180</t>
  </si>
  <si>
    <t>FLORES MARTINS TRANSPORTES LTDA</t>
  </si>
  <si>
    <t>46470539000105</t>
  </si>
  <si>
    <t>JCM LOCACOES LTDA</t>
  </si>
  <si>
    <t>61057864000134</t>
  </si>
  <si>
    <t>MFC CONSTRUCOES LTDA</t>
  </si>
  <si>
    <t>41304701000100</t>
  </si>
  <si>
    <t>JOSMARI ERITE BUENO FRAGA COSTA CARDOSO</t>
  </si>
  <si>
    <t>34320924000197</t>
  </si>
  <si>
    <t>MASC COMERCIO EXECUCAO DE SERVICOS EM MADEIRA LTDA</t>
  </si>
  <si>
    <t>16435774000185</t>
  </si>
  <si>
    <t>ARYEL CORRETORA DE SEGUROS LTDA</t>
  </si>
  <si>
    <t>61845501000163</t>
  </si>
  <si>
    <t>DELLA TORRE PRIME SERVICOS E MANUTENCAO LTDA</t>
  </si>
  <si>
    <t>03098877000155</t>
  </si>
  <si>
    <t>BARONI TERRAPLANAGEM LTDA</t>
  </si>
  <si>
    <t>48658420000196</t>
  </si>
  <si>
    <t>FERRI SERRALHERIA ARTISTICA LTDA</t>
  </si>
  <si>
    <t>24813971000119</t>
  </si>
  <si>
    <t>ALMADA SANTOS SOCIEDADE INDIVIDUAL DE ADVOCACIA</t>
  </si>
  <si>
    <t>42889060000157</t>
  </si>
  <si>
    <t>SEGISMUNDO PAGANINI CONFECCOES LTDA</t>
  </si>
  <si>
    <t>16847200000114</t>
  </si>
  <si>
    <t>JS SOLUCOES LTDA</t>
  </si>
  <si>
    <t>57916917000158</t>
  </si>
  <si>
    <t>LEANDRO DUARTE SPORTS LTDA</t>
  </si>
  <si>
    <t>23462379000157</t>
  </si>
  <si>
    <t>PLANETA DIGITAL WEB MIDIA LTDA</t>
  </si>
  <si>
    <t>18392818000162</t>
  </si>
  <si>
    <t>DELIZZA PIZZARIA LTDA</t>
  </si>
  <si>
    <t>25117315000144</t>
  </si>
  <si>
    <t>CAMARGO ASSESSORIA CONSULTORIA E AUDITORIA CONTABIL LTDA</t>
  </si>
  <si>
    <t>28807012000141</t>
  </si>
  <si>
    <t>SIMPLER SOLUCOES EM TECNOLOGIA LTDA</t>
  </si>
  <si>
    <t>24995440000194</t>
  </si>
  <si>
    <t>THEOPHILO OTTONI AMBIENTAL LTDA</t>
  </si>
  <si>
    <t>31908803000172</t>
  </si>
  <si>
    <t>A G ALIMENTOS PARTICIPACOES LTDA</t>
  </si>
  <si>
    <t>27824976000135</t>
  </si>
  <si>
    <t>CELIO SUPERMERCADO LTDA</t>
  </si>
  <si>
    <t>28042212000150</t>
  </si>
  <si>
    <t>SERVCOM COMERCIO E SERVICOS DE EQUIPAMENTOS E COMPONENTES INDUSTRIAIS LTDA</t>
  </si>
  <si>
    <t>14493130000118</t>
  </si>
  <si>
    <t>GERALDO JOSE SANTOS DA PAIXAO LTDA</t>
  </si>
  <si>
    <t>59394463000128</t>
  </si>
  <si>
    <t>SAUDE HOME CARE LTDA</t>
  </si>
  <si>
    <t>21083339000179</t>
  </si>
  <si>
    <t>LC MANUTENCAO E RETIFICA DE MOTOS LTDA</t>
  </si>
  <si>
    <t>34955543000184</t>
  </si>
  <si>
    <t>LEXUS TECNOLOGIA E MANUTENCAO LTDA</t>
  </si>
  <si>
    <t>62983386000156</t>
  </si>
  <si>
    <t>GUERRA QUADROS SOCIEDADE INDIVIDUAL DE ADVOCACIA</t>
  </si>
  <si>
    <t>24059796000116</t>
  </si>
  <si>
    <t>LDR CONSTRUCOES E COMERCIO LTDA</t>
  </si>
  <si>
    <t>57432955000135</t>
  </si>
  <si>
    <t>FARINHA DA FABIO COMERCIO LTDA</t>
  </si>
  <si>
    <t>05790665000160</t>
  </si>
  <si>
    <t>ARA BC OSORIO CONSULTORIA E NEGOCIOS EM INFORMATICA LTDA</t>
  </si>
  <si>
    <t>45964476000180</t>
  </si>
  <si>
    <t>MINIMERCADO BLADE LTDA</t>
  </si>
  <si>
    <t>62144585000170</t>
  </si>
  <si>
    <t>CENTRO EDUCACIONAL NOVA ABC LTDA</t>
  </si>
  <si>
    <t>42730202000139</t>
  </si>
  <si>
    <t>KJA RODRIGUES LTDA</t>
  </si>
  <si>
    <t>62656937000177</t>
  </si>
  <si>
    <t>BELLA FORMA STUDIO FITNESS LTDA</t>
  </si>
  <si>
    <t>63155338000132</t>
  </si>
  <si>
    <t>IF ODONTO SERVICE LTDA</t>
  </si>
  <si>
    <t>28537416000162</t>
  </si>
  <si>
    <t>MPV SOLUCOES ENGENHEIRADAS LTDA</t>
  </si>
  <si>
    <t>13501923000179</t>
  </si>
  <si>
    <t>MARCELO GONCALVES RAHAL</t>
  </si>
  <si>
    <t>62976906000101</t>
  </si>
  <si>
    <t>FELIPE SANCHEZ CONSULTORIA LTDA</t>
  </si>
  <si>
    <t>62719744000118</t>
  </si>
  <si>
    <t>A BRAGA DA SILVA</t>
  </si>
  <si>
    <t>54032550000111</t>
  </si>
  <si>
    <t>NEXTER PROMOTORA LTDA</t>
  </si>
  <si>
    <t>61368001000188</t>
  </si>
  <si>
    <t>RS JARDINAGEM E REFORMA PREDIAL LTDA</t>
  </si>
  <si>
    <t>63131583000100</t>
  </si>
  <si>
    <t>MGJ ASSESSORIA ADMINISTRATIVA LTDA</t>
  </si>
  <si>
    <t>61488220000109</t>
  </si>
  <si>
    <t>SOARES MANUTENCOES LTDA</t>
  </si>
  <si>
    <t>63245471000180</t>
  </si>
  <si>
    <t>C S L FRANCA SERVICOS DE ENFERMAGEM LTDA</t>
  </si>
  <si>
    <t>11665847000101</t>
  </si>
  <si>
    <t>CONSTRUTORA ALMEIDA LTDA</t>
  </si>
  <si>
    <t>59321777000109</t>
  </si>
  <si>
    <t>RICARDO RASTREADORES TRUCK SERVICE LTDA</t>
  </si>
  <si>
    <t>61025932000183</t>
  </si>
  <si>
    <t>ALINE FRASCA PACHECO LTDA</t>
  </si>
  <si>
    <t>13807203000136</t>
  </si>
  <si>
    <t>JORNAL BOCA DA MATA LTDA</t>
  </si>
  <si>
    <t>59440828000103</t>
  </si>
  <si>
    <t>R C DO NASCIMENTO LTDA</t>
  </si>
  <si>
    <t>57061049000171</t>
  </si>
  <si>
    <t>CASA ARAGONS RESTAURANTE PIZZARIA LTDA</t>
  </si>
  <si>
    <t>08698666000177</t>
  </si>
  <si>
    <t>EP REPRESENTACOES LTDA</t>
  </si>
  <si>
    <t>50429049000132</t>
  </si>
  <si>
    <t>LS ASSESSORIA E ADMINISTRACAO LTDA</t>
  </si>
  <si>
    <t>30058074000140</t>
  </si>
  <si>
    <t>D PRESTADORA DE SERVICOS LTDA</t>
  </si>
  <si>
    <t>03961407000173</t>
  </si>
  <si>
    <t>BARION SERVICOS E PARTICIPACOES SS LTDA</t>
  </si>
  <si>
    <t>49308682000193</t>
  </si>
  <si>
    <t>HAPPY KIDS MODA INFANTIL E ACESSORIOS LTDA</t>
  </si>
  <si>
    <t>11926180000153</t>
  </si>
  <si>
    <t>DAC TRANSPORTES EXPRESS LTDA</t>
  </si>
  <si>
    <t>60778965000131</t>
  </si>
  <si>
    <t>ADRIANO DIELLO PERES</t>
  </si>
  <si>
    <t>39991584000140</t>
  </si>
  <si>
    <t>DA PEREIRA SERVICOS E COMERCIO LTDA</t>
  </si>
  <si>
    <t>60230922000117</t>
  </si>
  <si>
    <t>TOPCAM SOLUCOES EM SEGURANCA ELETRONICA LTDA</t>
  </si>
  <si>
    <t>79203618000109</t>
  </si>
  <si>
    <t>ARF COMERCIO DE SUCATAS LTDA</t>
  </si>
  <si>
    <t>57187919000153</t>
  </si>
  <si>
    <t>CADENCIA LOGISTICA LTDA</t>
  </si>
  <si>
    <t>33286414000188</t>
  </si>
  <si>
    <t>NAZARI FILMAGEM DE FESTAS E EVENTOS LTDA</t>
  </si>
  <si>
    <t>46126992000107</t>
  </si>
  <si>
    <t>CONDOMINIO DO RESIDENCIAL SAO JOSE</t>
  </si>
  <si>
    <t>60704089000107</t>
  </si>
  <si>
    <t>MADRUGA O ORIGINAL SOM ACESSORIOS LTDA</t>
  </si>
  <si>
    <t>51990086000188</t>
  </si>
  <si>
    <t>VIP CLINICA DE VACINACAO E IMUNIZACAO HUMANA LTDA</t>
  </si>
  <si>
    <t>35293908000115</t>
  </si>
  <si>
    <t>GERALDO FERNANDES SOCIEDADE INDIVIDUAL DE ADVOCACIA</t>
  </si>
  <si>
    <t>62356432000197</t>
  </si>
  <si>
    <t>GALERIA DO GRANITO LTDA</t>
  </si>
  <si>
    <t>61106098000150</t>
  </si>
  <si>
    <t>ALEX PONTES IMOVEIS LTDA</t>
  </si>
  <si>
    <t>48229184000192</t>
  </si>
  <si>
    <t>PETIT BOY KIDS CONFECCAO LTDA</t>
  </si>
  <si>
    <t>38345909000154</t>
  </si>
  <si>
    <t>TROPICAL DIESEL CENTRO AUTOMOTIVO LTDA</t>
  </si>
  <si>
    <t>51969532000172</t>
  </si>
  <si>
    <t>TOMAZ STUDIO DE BELEZA E BARBEARIA LTDA</t>
  </si>
  <si>
    <t>63157257000171</t>
  </si>
  <si>
    <t>CARLA NEDER DE SOUZA LTDA</t>
  </si>
  <si>
    <t>63128971000131</t>
  </si>
  <si>
    <t>ENTROPIC AI DESENVOLVIMENTO DE SOFTWARE LTDA</t>
  </si>
  <si>
    <t>40224916000140</t>
  </si>
  <si>
    <t>SPRLIMA REPRESENTACOES LTDA</t>
  </si>
  <si>
    <t>53312568000104</t>
  </si>
  <si>
    <t>GEOVANI FERNANDO DOS SANTOS</t>
  </si>
  <si>
    <t>60707083000185</t>
  </si>
  <si>
    <t>REOBOTE DISTRIBUIDORA DE GAS LTDA</t>
  </si>
  <si>
    <t>44579494000186</t>
  </si>
  <si>
    <t>MEU CORRETOR DE SEGUROS SP LTDA</t>
  </si>
  <si>
    <t>21872074000198</t>
  </si>
  <si>
    <t>FRANCISLENE GODOI LEITE LTDA</t>
  </si>
  <si>
    <t>35665510000162</t>
  </si>
  <si>
    <t>I TRANSPORTES E LOGISTICA LTDA</t>
  </si>
  <si>
    <t>23272847000120</t>
  </si>
  <si>
    <t>LOPES FERREIRA SOCIEDADE INDIVIDUAL DE ADVOCACIA</t>
  </si>
  <si>
    <t>32785030000147</t>
  </si>
  <si>
    <t>PARANA NEGOCIOS LTDA</t>
  </si>
  <si>
    <t>36030006000159</t>
  </si>
  <si>
    <t>W F DA LUZ LTDA</t>
  </si>
  <si>
    <t>29971039000138</t>
  </si>
  <si>
    <t>CLICKLOG TRANSPORTES E LOGISTICA LTDA</t>
  </si>
  <si>
    <t>33307499000133</t>
  </si>
  <si>
    <t>JVS SERVICOS ELETRICOS LTDA</t>
  </si>
  <si>
    <t>59010817000193</t>
  </si>
  <si>
    <t>VISTTA AMBIENTES COMERCIAL LTDA</t>
  </si>
  <si>
    <t>60294210000161</t>
  </si>
  <si>
    <t>XIS CTPO SERVICO E COMERCIO LTDA</t>
  </si>
  <si>
    <t>37020980000102</t>
  </si>
  <si>
    <t>MOTA COMERCIO DE MATERIAIS E SERVICOS DE CONSTRUCOES LTDA</t>
  </si>
  <si>
    <t>60348410000150</t>
  </si>
  <si>
    <t>CASA FORTE MATERIAIS DE CONSTRUCAO LTDA</t>
  </si>
  <si>
    <t>61756398000185</t>
  </si>
  <si>
    <t>ROCHASS VENDA E MARKETING DIGITAL LTDA</t>
  </si>
  <si>
    <t>52009862000189</t>
  </si>
  <si>
    <t>ELOISA GUIDEROLI DELA MARTA CORRETORA DE SEGUROS LTDA</t>
  </si>
  <si>
    <t>63391230000149</t>
  </si>
  <si>
    <t>CAMILA PIRES DIAS LTDA</t>
  </si>
  <si>
    <t>63000036000195</t>
  </si>
  <si>
    <t>FERRINHO MANUTENCAO REPARO E PINTURAS LTDA</t>
  </si>
  <si>
    <t>47658268000189</t>
  </si>
  <si>
    <t>ECB COMERCIO E SERVICOS LTDA</t>
  </si>
  <si>
    <t>14798788000138</t>
  </si>
  <si>
    <t>ADM ESQUADRIAS DE ALUMINIO LTDA</t>
  </si>
  <si>
    <t>62541613000193</t>
  </si>
  <si>
    <t>TOMAZ ODONTOLOGIA LTDA</t>
  </si>
  <si>
    <t>10726338000189</t>
  </si>
  <si>
    <t>GF CONT ASSESSORIA EMPRESARIAL LTDA</t>
  </si>
  <si>
    <t>25204482000122</t>
  </si>
  <si>
    <t>MCM COMERCIO DE CALCADOS E ACESSORIOS LTDA</t>
  </si>
  <si>
    <t>36169302000135</t>
  </si>
  <si>
    <t>FANCHIN SANTOS SOCIEDADE INDIVIDUAL DE ADVOCACIA</t>
  </si>
  <si>
    <t>61279081000103</t>
  </si>
  <si>
    <t>LUCAS MATERIAIS DE CONSTRUCAO LTDA</t>
  </si>
  <si>
    <t>41481239000108</t>
  </si>
  <si>
    <t>SANTO BENDITO LTDA</t>
  </si>
  <si>
    <t>07432431000176</t>
  </si>
  <si>
    <t>SUELY TRANSPORTES LTDA</t>
  </si>
  <si>
    <t>10454979000121</t>
  </si>
  <si>
    <t>ORIGINALLE INDUSTRIA E COMERCIO DE MOVEIS LTDA</t>
  </si>
  <si>
    <t>58241075000144</t>
  </si>
  <si>
    <t>MAKA REPRESENTACOES LTDA</t>
  </si>
  <si>
    <t>52944552000151</t>
  </si>
  <si>
    <t>BAR E LANCHONETE PONTA DA AREIA LTDA</t>
  </si>
  <si>
    <t>31107306000175</t>
  </si>
  <si>
    <t>C MORAIS DE ARAUJO LTDA</t>
  </si>
  <si>
    <t>07298019000105</t>
  </si>
  <si>
    <t>JBM DISTRIBUIDORA LTDA</t>
  </si>
  <si>
    <t>94915535000136</t>
  </si>
  <si>
    <t>S CONRAD E CIA LTDA</t>
  </si>
  <si>
    <t>60334820000141</t>
  </si>
  <si>
    <t>RODRIGO LISBOA PACHECO SOCIEDADE INDIVIDUAL DE ADVOCACIA</t>
  </si>
  <si>
    <t>24838277000156</t>
  </si>
  <si>
    <t>ASHER EMPRESARIAL LTDA</t>
  </si>
  <si>
    <t>29492997000126</t>
  </si>
  <si>
    <t>FRUTAS E SABOR DO BRASIL LTDA</t>
  </si>
  <si>
    <t>47603834000155</t>
  </si>
  <si>
    <t>MOTOMIL MECANICA E PECAS LTDA</t>
  </si>
  <si>
    <t>43345013000105</t>
  </si>
  <si>
    <t>TS CONSTRUCAO LTDA</t>
  </si>
  <si>
    <t>63219578000153</t>
  </si>
  <si>
    <t>SARTORI PLANOS E BENEFICIOS LTDA</t>
  </si>
  <si>
    <t>56059899000172</t>
  </si>
  <si>
    <t>RAPHAEL PENNA DE PAULA GUIMARAES LTDA</t>
  </si>
  <si>
    <t>10725540000196</t>
  </si>
  <si>
    <t>MELO VEICULOS LTDA</t>
  </si>
  <si>
    <t>39896108000140</t>
  </si>
  <si>
    <t>MARIA APARECIDA DA SILVA REPRESENTACAO COMERCIAL LTDA</t>
  </si>
  <si>
    <t>32530616000160</t>
  </si>
  <si>
    <t>VIVACLIN CENTRO DE SAUDE INTEGRADO LTDA</t>
  </si>
  <si>
    <t>04273576000183</t>
  </si>
  <si>
    <t>WALCON ENGENHARIA E CONSULTORIA LTDA</t>
  </si>
  <si>
    <t>50026147000129</t>
  </si>
  <si>
    <t>DU CAVALCANTI ASSESSORIA E PRODUCOES LTDA</t>
  </si>
  <si>
    <t>63029687000108</t>
  </si>
  <si>
    <t>GFRANCISCO DE SOUZA CORRETORA DE SEGUROS LTDA</t>
  </si>
  <si>
    <t>36749415000100</t>
  </si>
  <si>
    <t>CASA HOJE IMOVEIS LTDA</t>
  </si>
  <si>
    <t>44489653000151</t>
  </si>
  <si>
    <t>A E MASSUQUETE COMERCIO DE VEICULOS LTDA</t>
  </si>
  <si>
    <t>31719706000131</t>
  </si>
  <si>
    <t>LEAVES ENGENHARIA E SOLUCOES AMBIENTAIS LTDA</t>
  </si>
  <si>
    <t>27174409000180</t>
  </si>
  <si>
    <t>MAXTER CALCADOS E FRANQUIAS LTDA</t>
  </si>
  <si>
    <t>62631434000147</t>
  </si>
  <si>
    <t>PAMELA DE OLIVEIRA MOURA KONRAD</t>
  </si>
  <si>
    <t>20160674000160</t>
  </si>
  <si>
    <t>CANIL SHIN YU A CASA DO AKTIA E SHIBA INU LTDA</t>
  </si>
  <si>
    <t>62990355000122</t>
  </si>
  <si>
    <t>CONTABILIDADE INTELIGENTE LTDA</t>
  </si>
  <si>
    <t>59677611000111</t>
  </si>
  <si>
    <t>ANDREIA APARECIDA MENDONCA DA SILVA</t>
  </si>
  <si>
    <t>37993830000177</t>
  </si>
  <si>
    <t>NUTRICAO BEATRICE CARVALHO LTDA</t>
  </si>
  <si>
    <t>63113169000178</t>
  </si>
  <si>
    <t>JOMAL REPRESENTACOES COMERCIAL LTDA</t>
  </si>
  <si>
    <t>22448729000168</t>
  </si>
  <si>
    <t>MC WEB SOLUTIONS LTDA</t>
  </si>
  <si>
    <t>30539740000161</t>
  </si>
  <si>
    <t>PAULO SERGIO FERNANDES ADMINISTRACAO DE BENS LTDA</t>
  </si>
  <si>
    <t>63209723000115</t>
  </si>
  <si>
    <t>CK COMERCIO DE FERRO E ACO LTDA</t>
  </si>
  <si>
    <t>33056786000118</t>
  </si>
  <si>
    <t>LOCADORA DE VEICULOS E APOIO ADMINISTRATIVO LTDA</t>
  </si>
  <si>
    <t>63288289000106</t>
  </si>
  <si>
    <t>LIMA SANTIAGO SOCIEDADE DE ADVOGADAS</t>
  </si>
  <si>
    <t>63279925000133</t>
  </si>
  <si>
    <t>LAZULI SERVICOS E GESTAO LTDA</t>
  </si>
  <si>
    <t>41365467000112</t>
  </si>
  <si>
    <t>AMC SERVICE LTDA</t>
  </si>
  <si>
    <t>37362303000164</t>
  </si>
  <si>
    <t>MEDEMAIS CENTRO DE ATENDIMENTOS MEDICOS E HOSPITALARES LTDA</t>
  </si>
  <si>
    <t>62072972000149</t>
  </si>
  <si>
    <t>DH ENXOVAIS ATACADO E VAREJO LTDA</t>
  </si>
  <si>
    <t>51992574000124</t>
  </si>
  <si>
    <t>RELOU RH ESPECIALIZADO LTDA</t>
  </si>
  <si>
    <t>63115169000107</t>
  </si>
  <si>
    <t>MJS CONSULTORIA LTDA</t>
  </si>
  <si>
    <t>61663752000127</t>
  </si>
  <si>
    <t>JL PECUARIA LTDA</t>
  </si>
  <si>
    <t>61007467000158</t>
  </si>
  <si>
    <t>RESTAURANTE E SALGADERIA ESQUINAO LTDA</t>
  </si>
  <si>
    <t>62083016000162</t>
  </si>
  <si>
    <t>AMANDA MILANI TOLEDO DA SILVA LTDA</t>
  </si>
  <si>
    <t>62981425000186</t>
  </si>
  <si>
    <t>NOSSASELVA ECOMERCE LTDA</t>
  </si>
  <si>
    <t>59986403000102</t>
  </si>
  <si>
    <t>LACTOPRIME LTDA</t>
  </si>
  <si>
    <t>62858407000101</t>
  </si>
  <si>
    <t>SOPHISTIC COMERCIO DE COLCHOES LTDA</t>
  </si>
  <si>
    <t>57379392000169</t>
  </si>
  <si>
    <t>JULLITA TUDO DOUTOR SANTOS LTDA</t>
  </si>
  <si>
    <t>46377303000129</t>
  </si>
  <si>
    <t>JOAO VITOR DE OLIVEIRA GONZALES</t>
  </si>
  <si>
    <t>59549301000111</t>
  </si>
  <si>
    <t>MICHALOSKI MECANICA DIESEL E PECAS LTDA</t>
  </si>
  <si>
    <t>62407117000141</t>
  </si>
  <si>
    <t>ELCLIDIS GONCALVES DE CIRQUEIRA LTDA</t>
  </si>
  <si>
    <t>63383967000110</t>
  </si>
  <si>
    <t>FINO TOK PRODUTOS DE LIMPEZA LTDA</t>
  </si>
  <si>
    <t>21958450000161</t>
  </si>
  <si>
    <t>ACN CONSULTORIA GESTAO EM SAUDE LTDA</t>
  </si>
  <si>
    <t>55609696000140</t>
  </si>
  <si>
    <t>DANIELLE K ANDERSEN</t>
  </si>
  <si>
    <t>57128463000150</t>
  </si>
  <si>
    <t>LUANA COSTA LICO SOCIEDADE INDIVIDUAL DE ADVOCACIA</t>
  </si>
  <si>
    <t>60840039000149</t>
  </si>
  <si>
    <t>REDE FARMA MEDICAMENTOS LTDA</t>
  </si>
  <si>
    <t>63047186000154</t>
  </si>
  <si>
    <t>IDHEIA EMBALAGENS LTDA</t>
  </si>
  <si>
    <t>41503446000116</t>
  </si>
  <si>
    <t>LA BODEGA VINHO E CIA COMERCIO DE BEBIDAS LTDA</t>
  </si>
  <si>
    <t>52788047000165</t>
  </si>
  <si>
    <t>R R COSTA MACHADO LTDA</t>
  </si>
  <si>
    <t>13616934000102</t>
  </si>
  <si>
    <t>EQUIPE MASTER ESTAMPARIA LTDA</t>
  </si>
  <si>
    <t>22188012000124</t>
  </si>
  <si>
    <t>JOSE RONALDO PEDROSO CIA LTDA</t>
  </si>
  <si>
    <t>62576027000184</t>
  </si>
  <si>
    <t>WAGMAR DUARTE DA SILVA LTDA</t>
  </si>
  <si>
    <t>61251810000105</t>
  </si>
  <si>
    <t>AED CONSULTORIA E SERVICOS AGROPECUARIOS AGRICOLAS AQUICOLAS AMBIENTAIS E DEDETIZACAO LTDA</t>
  </si>
  <si>
    <t>18067167000135</t>
  </si>
  <si>
    <t>AGK LIMA REPRESENTACOES LTDA</t>
  </si>
  <si>
    <t>24556473000138</t>
  </si>
  <si>
    <t>CARLOS TAKAYOSHI UEMURA</t>
  </si>
  <si>
    <t>63424125000169</t>
  </si>
  <si>
    <t>AMMF DISTRIBUIDORA DE GELO LTDA</t>
  </si>
  <si>
    <t>47906541000147</t>
  </si>
  <si>
    <t>STUDIO ALICE MARIANO LTDA</t>
  </si>
  <si>
    <t>44601835000172</t>
  </si>
  <si>
    <t>COMERCIO VAREJISTA NOVA ULTRAGAZ LTDA</t>
  </si>
  <si>
    <t>61618853000186</t>
  </si>
  <si>
    <t>CARLA REGINA GALAZZO LTDA</t>
  </si>
  <si>
    <t>14177857000196</t>
  </si>
  <si>
    <t>SAMARA M S PEREIRA</t>
  </si>
  <si>
    <t>63197661000179</t>
  </si>
  <si>
    <t>JOELMA MARTINS SOCIEDADE INDIVIDUAL DE ADVOCACIA</t>
  </si>
  <si>
    <t>51004971000140</t>
  </si>
  <si>
    <t>JULIO CESAR INACIO SOCIEDADE INDIVIDUAL DE ADVOCACIA</t>
  </si>
  <si>
    <t>50003074000150</t>
  </si>
  <si>
    <t>OSNI JUNIOR SOCIEDADE INDIVIDUAL DE ADVOCACIA</t>
  </si>
  <si>
    <t>63195728000136</t>
  </si>
  <si>
    <t>GABRIEL FELIPE SOCIEDADE INDIVIDUAL DE ADVOCACIA</t>
  </si>
  <si>
    <t>50442884000102</t>
  </si>
  <si>
    <t>GRALLS PIZZARIA LTDA</t>
  </si>
  <si>
    <t>63195781000137</t>
  </si>
  <si>
    <t>ANA BERLIM SOCIEDADE INDIVIDUAL DE ADVOCACIA</t>
  </si>
  <si>
    <t>57925792000122</t>
  </si>
  <si>
    <t>ELIER ROSIGNOLI SOCIEDADE INDIVIDUAL DE ADVOCACIA</t>
  </si>
  <si>
    <t>60908400000121</t>
  </si>
  <si>
    <t>MERCADO E ACOUGUE GANCHINHO LTDA</t>
  </si>
  <si>
    <t>58046672000118</t>
  </si>
  <si>
    <t>B O NUNES J C DA SILVA LTDA</t>
  </si>
  <si>
    <t>24825272000199</t>
  </si>
  <si>
    <t>AROMATERAPIA E CURSOS COMPLEMENTARES DE SUCESSO LTDA</t>
  </si>
  <si>
    <t>35699538000110</t>
  </si>
  <si>
    <t>DK COMERCIO LTDA</t>
  </si>
  <si>
    <t>63113071000110</t>
  </si>
  <si>
    <t>LUIZ AUGUSTO SCANHOLATO REPRESENTACOES E VENDAS LTDA</t>
  </si>
  <si>
    <t>54289812000128</t>
  </si>
  <si>
    <t>MANOEL ROMAN RODRIGUEZ LTDA</t>
  </si>
  <si>
    <t>57264325000107</t>
  </si>
  <si>
    <t>LOBATO REPRESENTACOES LTDA</t>
  </si>
  <si>
    <t>63266872000116</t>
  </si>
  <si>
    <t>VAGNER RUBENS D AGOSTINI SOCIEDADE INDIVIDUAL DE ADVOCACIA</t>
  </si>
  <si>
    <t>63355505000199</t>
  </si>
  <si>
    <t>HELEN TOMAZ SOCIEDADE INDIVIDUAL DE ADVOCACIA</t>
  </si>
  <si>
    <t>61849727000132</t>
  </si>
  <si>
    <t>MARIA ARTEIRA FESTAS E EVENTOS LTDA</t>
  </si>
  <si>
    <t>51492184000195</t>
  </si>
  <si>
    <t>MARCIO LOPES FARIAS</t>
  </si>
  <si>
    <t>56907913000140</t>
  </si>
  <si>
    <t>W DA SILVA SOUZA LTDA</t>
  </si>
  <si>
    <t>60319061000148</t>
  </si>
  <si>
    <t>MS COACH E CONSULTORIA LTDA</t>
  </si>
  <si>
    <t>45447285000141</t>
  </si>
  <si>
    <t>ERELAR MOVEIS PLANEJADOS LTDA</t>
  </si>
  <si>
    <t>04218986000121</t>
  </si>
  <si>
    <t>RN MANUTENCAO LTDA</t>
  </si>
  <si>
    <t>46721548000121</t>
  </si>
  <si>
    <t>EVERTON GONCALVES SOCIEDADE INDIVIDUAL DE ADVOCACIA</t>
  </si>
  <si>
    <t>22104802000184</t>
  </si>
  <si>
    <t>ISMAEL BENTO DO NASCIMENTO SERVICOS RADIOLOGICOS LTDA</t>
  </si>
  <si>
    <t>41949260000195</t>
  </si>
  <si>
    <t>BIG BOSS LTDA</t>
  </si>
  <si>
    <t>62220752000115</t>
  </si>
  <si>
    <t>ERNANDO GARCIA LEAL LTDA</t>
  </si>
  <si>
    <t>48242501000100</t>
  </si>
  <si>
    <t>DOCES ESQUINA DO MUCUGE LTDA</t>
  </si>
  <si>
    <t>17385346000158</t>
  </si>
  <si>
    <t>STS MECANICA DIESEL E COMERCIO DE PECAS LTDA</t>
  </si>
  <si>
    <t>31096359000138</t>
  </si>
  <si>
    <t>RICARDO N CATTANI CIA LTDA</t>
  </si>
  <si>
    <t>55036780000111</t>
  </si>
  <si>
    <t>ACOUGUE DO WOLMAR LTDA</t>
  </si>
  <si>
    <t>45901485000122</t>
  </si>
  <si>
    <t>LANCHONETE E MERCEARIA RELUZ LTDA</t>
  </si>
  <si>
    <t>38423112000128</t>
  </si>
  <si>
    <t>DALUI CONSTRUTORA LTDA</t>
  </si>
  <si>
    <t>59837536000109</t>
  </si>
  <si>
    <t>AGUIAR CONTABILIDADE E CONSULTORIA LTDA</t>
  </si>
  <si>
    <t>40830857000153</t>
  </si>
  <si>
    <t>PLANUS PRESTADORA DE SERVICOS E APOIO ADMINISTRATIVO LTDA</t>
  </si>
  <si>
    <t>27795695000100</t>
  </si>
  <si>
    <t>BIG TRADE REPRESENTACOES COMERCIAIS LTDA</t>
  </si>
  <si>
    <t>32047226000134</t>
  </si>
  <si>
    <t>SOUZA BARROS SOCIEDADE INDIVIDUAL DE ADVOCACIA</t>
  </si>
  <si>
    <t>22177386000144</t>
  </si>
  <si>
    <t>ROSA SILVA AGENTE IMOBILIARIO LTDA</t>
  </si>
  <si>
    <t>37648120000100</t>
  </si>
  <si>
    <t>BANNER AJU IMPRESSOES LTDA</t>
  </si>
  <si>
    <t>44791323000116</t>
  </si>
  <si>
    <t>DR VANDER SERVICO E RECUPERACAO DE FAROL E LANTERNA LTDA</t>
  </si>
  <si>
    <t>50797470000104</t>
  </si>
  <si>
    <t>FOREST ACAI COMERCIO LTDA</t>
  </si>
  <si>
    <t>63374392000179</t>
  </si>
  <si>
    <t>ELISABETE MISTICA ANDRADE UMBELINO SOCIEDADE INDIVIDUAL DE ADVOCACIA</t>
  </si>
  <si>
    <t>56423151000107</t>
  </si>
  <si>
    <t>LUANA M W DE JESUS</t>
  </si>
  <si>
    <t>63378021000165</t>
  </si>
  <si>
    <t>BORGES SANTOS OLIVEIRA SOCIEDADE INDIVIDUAL DE ADVOCACIA</t>
  </si>
  <si>
    <t>28740492000170</t>
  </si>
  <si>
    <t>SANTA CHIARA COMUNICACAO LTDA</t>
  </si>
  <si>
    <t>63375629000136</t>
  </si>
  <si>
    <t>MARIA CAROLINA SCHILLING BECKER SOCIEDADE INDIVIDUAL DE ADVOCACIA</t>
  </si>
  <si>
    <t>43504633000140</t>
  </si>
  <si>
    <t>MOSCHEN COMERCIO DE VEICULOS LTDA</t>
  </si>
  <si>
    <t>14617844000190</t>
  </si>
  <si>
    <t>MAC TEC SERVICOS LTDA</t>
  </si>
  <si>
    <t>07958013000117</t>
  </si>
  <si>
    <t>AC SAUDE ESTETICA LTDA</t>
  </si>
  <si>
    <t>14371864000124</t>
  </si>
  <si>
    <t>INTELIGENCIA CONSULTORIA EMPRESARIAL LTDA</t>
  </si>
  <si>
    <t>29748003000190</t>
  </si>
  <si>
    <t>ECOMAX ENERGIA MATERIAL ELETRICO E ELETRONICO LTDA</t>
  </si>
  <si>
    <t>14628183000107</t>
  </si>
  <si>
    <t>COSMEDIC CLINICA MEDICA LTDA</t>
  </si>
  <si>
    <t>50412664000136</t>
  </si>
  <si>
    <t>FORNAZZARO REPRESENTACAO COMERCIAL LTDA</t>
  </si>
  <si>
    <t>09660650000138</t>
  </si>
  <si>
    <t>TSG LABORATORIO DE PROTESE DENTARIA LTDA</t>
  </si>
  <si>
    <t>60526249000167</t>
  </si>
  <si>
    <t>OAS EMPREITEIRA LTDA</t>
  </si>
  <si>
    <t>60238688000174</t>
  </si>
  <si>
    <t>ALGI ALIMENTOS LTDA</t>
  </si>
  <si>
    <t>70598123000151</t>
  </si>
  <si>
    <t>MERCENERGY SOLAR ELECTRICAL SYSTEMS LTDA</t>
  </si>
  <si>
    <t>47792212000112</t>
  </si>
  <si>
    <t>P W O LANCHONETE E REUSTAURANTE LTDA</t>
  </si>
  <si>
    <t>60101776000120</t>
  </si>
  <si>
    <t>CENTRO DE ESTIMULACAO COGNITIVA ANA CLAUDIA PAULO LTDA</t>
  </si>
  <si>
    <t>23285073000172</t>
  </si>
  <si>
    <t>SCHELL REFRIGERACAO LTDA</t>
  </si>
  <si>
    <t>26928856000115</t>
  </si>
  <si>
    <t>JOSE EVANI RODRIGUES DE OLIVEIRA LTDA</t>
  </si>
  <si>
    <t>17511540000132</t>
  </si>
  <si>
    <t>TATIANA GIVISIEZ SOCIEDADE INDIVIDUAL DE ADVOCACIA</t>
  </si>
  <si>
    <t>63088999000192</t>
  </si>
  <si>
    <t>TAINA LOPES SOCIEDADE INDIVIDUAL DE ADVOCACIA</t>
  </si>
  <si>
    <t>44330208000144</t>
  </si>
  <si>
    <t>IMPERIO DAS VANS LTDA</t>
  </si>
  <si>
    <t>43664367000112</t>
  </si>
  <si>
    <t>CONSERVATE SERVICOS LTDA</t>
  </si>
  <si>
    <t>31030602000115</t>
  </si>
  <si>
    <t>JL LIMA RESTAURACOES E PINTURAS LTDA</t>
  </si>
  <si>
    <t>43426363000104</t>
  </si>
  <si>
    <t>GIRARDI PLANEJADOS LTDA</t>
  </si>
  <si>
    <t>29056997000183</t>
  </si>
  <si>
    <t>BEENLA NETWORKS LTDA</t>
  </si>
  <si>
    <t>62943599000154</t>
  </si>
  <si>
    <t>JOAO MENDES CICARINI HOTT</t>
  </si>
  <si>
    <t>37808983000105</t>
  </si>
  <si>
    <t>MARCYLIO DE QUEIROZ SILVA LTDA</t>
  </si>
  <si>
    <t>29056259000136</t>
  </si>
  <si>
    <t>MSCL SERVICOS E LOCACOES LTDA</t>
  </si>
  <si>
    <t>43248477000101</t>
  </si>
  <si>
    <t>MAY F PIRES LTDA</t>
  </si>
  <si>
    <t>27723087000181</t>
  </si>
  <si>
    <t>JORGE JORGE COMERCIO DE VEICULOS LTDA</t>
  </si>
  <si>
    <t>34366381000149</t>
  </si>
  <si>
    <t>PRODUZ AUDIO E VIDEO LTDA</t>
  </si>
  <si>
    <t>28677900000197</t>
  </si>
  <si>
    <t>RF PECAS PARA CAMINHOES FIBRAS E PLASTICOS LTDA</t>
  </si>
  <si>
    <t>63025107000104</t>
  </si>
  <si>
    <t>RENATA BASSI SOCIEDADE INDIVIDUAL DE ADVOCACIA</t>
  </si>
  <si>
    <t>62852725000165</t>
  </si>
  <si>
    <t>CLINICA DE SAUDE MENTAL E BEMESTAR LTDA</t>
  </si>
  <si>
    <t>40592443000133</t>
  </si>
  <si>
    <t>ALVES E SILVESTRE EQUIPAMENTOS INDUSTRIAIS LTDA</t>
  </si>
  <si>
    <t>63019273000106</t>
  </si>
  <si>
    <t>MIWI VISUAIS LTDA</t>
  </si>
  <si>
    <t>62472495000109</t>
  </si>
  <si>
    <t>MORAES INDUSTRIA E COMERCIO DE BORRACHAS LTDA</t>
  </si>
  <si>
    <t>03804061000108</t>
  </si>
  <si>
    <t>O FORTAO SUPERMERCADO E VERDURAO LTDA</t>
  </si>
  <si>
    <t>22331885000144</t>
  </si>
  <si>
    <t>AUTO CENTER YURI CAR LTDA</t>
  </si>
  <si>
    <t>46996433000140</t>
  </si>
  <si>
    <t>D INFRAESTRUTURA TERRAPLANAGEM SOCIEDADE UNIPESSOAL LTDA</t>
  </si>
  <si>
    <t>63004446000104</t>
  </si>
  <si>
    <t>PRISMA CONSULTORIA INTEGRADA</t>
  </si>
  <si>
    <t>10608906000147</t>
  </si>
  <si>
    <t>CONSTRUTORA PACTAC LTDA</t>
  </si>
  <si>
    <t>63139271000142</t>
  </si>
  <si>
    <t>ANA GABRIELA REZENDE REGO SOCIEDADE INDIVIDUAL DE ADVOCACIA</t>
  </si>
  <si>
    <t>41869869000154</t>
  </si>
  <si>
    <t>NATFER MARKETING E VENDAS LTDA</t>
  </si>
  <si>
    <t>59142431000135</t>
  </si>
  <si>
    <t>SOLAR RES LTDA</t>
  </si>
  <si>
    <t>55911772000177</t>
  </si>
  <si>
    <t>JESSICKA PATRICIA BASILIO DA SILVA SOCIEDADE INDIVIDUAL DE ADVOCACIA</t>
  </si>
  <si>
    <t>62522341000184</t>
  </si>
  <si>
    <t>BR INSTALACOES LTDA</t>
  </si>
  <si>
    <t>05902568000111</t>
  </si>
  <si>
    <t>TUNEL ARTES GRAFICAS LTDA</t>
  </si>
  <si>
    <t>59475495000158</t>
  </si>
  <si>
    <t>CJ MENDONCA EMPREENDIMENTOS LTDA</t>
  </si>
  <si>
    <t>43456058000157</t>
  </si>
  <si>
    <t>LAGRI PROJETOS E CONSULTORIA LTDA</t>
  </si>
  <si>
    <t>10661715000149</t>
  </si>
  <si>
    <t>JLS INCORPORACOES LTDA</t>
  </si>
  <si>
    <t>62523012000158</t>
  </si>
  <si>
    <t>URUMA ADMINISTRACAO DE OBRAS E REFORMAS LTDA</t>
  </si>
  <si>
    <t>40661151000105</t>
  </si>
  <si>
    <t>LS LOCACAO E SERVICOS LTDA</t>
  </si>
  <si>
    <t>63048000000181</t>
  </si>
  <si>
    <t>ICMP SERVICOS MEDICOS LTDA</t>
  </si>
  <si>
    <t>63018342000159</t>
  </si>
  <si>
    <t>BORDONALLI MAGALHAES SOCIEDADE INDIVIDUAL DE ADVOCACIA</t>
  </si>
  <si>
    <t>62646541000149</t>
  </si>
  <si>
    <t>MINIMERCADO DUDU LTDA</t>
  </si>
  <si>
    <t>57485560000109</t>
  </si>
  <si>
    <t>FABIO DOS REIS SIMAO</t>
  </si>
  <si>
    <t>63137098000143</t>
  </si>
  <si>
    <t>FERNANDO SILVA MORENO</t>
  </si>
  <si>
    <t>18666714000107</t>
  </si>
  <si>
    <t>IRRIPATOS IRRIGACAO LTDA</t>
  </si>
  <si>
    <t>62748100000158</t>
  </si>
  <si>
    <t>CAROLINE GOMBIO CHICONI PENA LTDA</t>
  </si>
  <si>
    <t>50007122000188</t>
  </si>
  <si>
    <t>ADEGA DA JU LTDA</t>
  </si>
  <si>
    <t>57741642000169</t>
  </si>
  <si>
    <t>AGENCIA INSTITUCIONAL DA ENGENHARIA ATUANTE</t>
  </si>
  <si>
    <t>04769355000109</t>
  </si>
  <si>
    <t>C D S MADEIRAS LTDA</t>
  </si>
  <si>
    <t>45237586000140</t>
  </si>
  <si>
    <t>FORT E MOURA SERRALHERIA E MANUTENCAO RESIDENCIAL E INDUSTRIAL LTDA</t>
  </si>
  <si>
    <t>13622344000184</t>
  </si>
  <si>
    <t>M A P DA COSTA E CIA LTDA</t>
  </si>
  <si>
    <t>05678873000171</t>
  </si>
  <si>
    <t>CENTRO DE FORMACAO DE CONDUTORES TERRA LTDA</t>
  </si>
  <si>
    <t>57784447000116</t>
  </si>
  <si>
    <t>WILHER SANTOS SOCIEDADE INDIVIDUAL DE ADVOCACIA</t>
  </si>
  <si>
    <t>22150976000183</t>
  </si>
  <si>
    <t>MF CM LTDA</t>
  </si>
  <si>
    <t>62484518000103</t>
  </si>
  <si>
    <t>W SOUZA CAMPELO</t>
  </si>
  <si>
    <t>40190306000172</t>
  </si>
  <si>
    <t>CASA PLE BUFFET EVENTOS E RECREACOES LTDA</t>
  </si>
  <si>
    <t>60010459000106</t>
  </si>
  <si>
    <t>R V R SERVICOS E TURISMO LTDA</t>
  </si>
  <si>
    <t>07821553000154</t>
  </si>
  <si>
    <t>CRIS FURTADO GESTAO IMOBILIARIA LTDA</t>
  </si>
  <si>
    <t>44306878000125</t>
  </si>
  <si>
    <t>LAM RESTAURANTE LTDA</t>
  </si>
  <si>
    <t>38733588000165</t>
  </si>
  <si>
    <t>LIGA ESPORTIVA INOVADORA DE SOBRADINHO IILEIS</t>
  </si>
  <si>
    <t>57600331000180</t>
  </si>
  <si>
    <t>D ELIA MOURA BELLINATI SOCIEDADE DE ADVOGADOS</t>
  </si>
  <si>
    <t>25009122000170</t>
  </si>
  <si>
    <t>VALENTE ENGENHARIA E CONSULTORIA LTDA</t>
  </si>
  <si>
    <t>49957026000111</t>
  </si>
  <si>
    <t>RICARDO MOTORES COMERCIO E SERVICOS DE MAQUINAS E EQUIPAMENTOS LTDA</t>
  </si>
  <si>
    <t>01341740000154</t>
  </si>
  <si>
    <t>APUI TAXI AEREO SA</t>
  </si>
  <si>
    <t>60299736000134</t>
  </si>
  <si>
    <t>HUMBERTO TOMIELLO ROCHA SOCIEDADE INDIVIDUAL DE ADVOCACIA</t>
  </si>
  <si>
    <t>40909336000196</t>
  </si>
  <si>
    <t>JONAS CARIMBOS COMERCIO E SERVICOS UNIPESSOAL LIMITADA</t>
  </si>
  <si>
    <t>50834796000156</t>
  </si>
  <si>
    <t>CANTINHO DO MECANICO LTDA</t>
  </si>
  <si>
    <t>63129251000190</t>
  </si>
  <si>
    <t>ROMANELLI ARQUITETURA LTDA</t>
  </si>
  <si>
    <t>60643981000117</t>
  </si>
  <si>
    <t>A S J OFICINA MECANICA LTDA</t>
  </si>
  <si>
    <t>37916747000102</t>
  </si>
  <si>
    <t>LION VISION DIGITAL LTDA</t>
  </si>
  <si>
    <t>12012526000170</t>
  </si>
  <si>
    <t>LSCHROTH HOWFAR ASSESSORIA LTDA</t>
  </si>
  <si>
    <t>62908534000178</t>
  </si>
  <si>
    <t>DUARTE E LIMA COMERCIO LTDA</t>
  </si>
  <si>
    <t>53936387000159</t>
  </si>
  <si>
    <t>ST DIESEL LTDA</t>
  </si>
  <si>
    <t>60727025000113</t>
  </si>
  <si>
    <t>TAYNA AVELINA DE LIMA E OUTRA</t>
  </si>
  <si>
    <t>41742788000199</t>
  </si>
  <si>
    <t>RESULT SALES PROSPECCAO E VENDAS LTDA</t>
  </si>
  <si>
    <t>21930810000117</t>
  </si>
  <si>
    <t>SOLUCOES EM COMUNICACAO VISUAL LTDA</t>
  </si>
  <si>
    <t>43075715000116</t>
  </si>
  <si>
    <t>CONECTA VANS TRANSPORTE E FRETAMENTO LTDA</t>
  </si>
  <si>
    <t>07333638000193</t>
  </si>
  <si>
    <t>PAULO COSTA SERVICOS FISCAIS E TRIBUTARIOS INTELIGENTES LTDA</t>
  </si>
  <si>
    <t>57628642000157</t>
  </si>
  <si>
    <t>TALITA DE ABREU SOCIEDADE INDIVIDUAL DE ADVOCACIA</t>
  </si>
  <si>
    <t>53210082000165</t>
  </si>
  <si>
    <t>AR DRONE PULVERIZACAO AGRICOLA LTDA</t>
  </si>
  <si>
    <t>51195887000151</t>
  </si>
  <si>
    <t>SWL CONSTRUCOES LTDA</t>
  </si>
  <si>
    <t>50921001000147</t>
  </si>
  <si>
    <t>ENXOVAIS FERREIRA LTDA</t>
  </si>
  <si>
    <t>22043612000102</t>
  </si>
  <si>
    <t>EMERSON JOAO FABIANO DO CARMO LTDA</t>
  </si>
  <si>
    <t>52805044000192</t>
  </si>
  <si>
    <t>HORUS SPAS CENTRO DE TERAPIA E ESTETICA QUANTICA LTDA</t>
  </si>
  <si>
    <t>62976664000148</t>
  </si>
  <si>
    <t>A DE OLIVEIRA PEREIRA ENGENHARIA E OBRAS LTDA</t>
  </si>
  <si>
    <t>44214414000199</t>
  </si>
  <si>
    <t>VAVA CENTRO AUTOMOTIVO LTDA</t>
  </si>
  <si>
    <t>40370473000103</t>
  </si>
  <si>
    <t>ZAYA LASER LOCACAO E ESTETICA AVANCADA LTDA</t>
  </si>
  <si>
    <t>30111905000108</t>
  </si>
  <si>
    <t>CAMPING CACA E PESCA DO TIO HIKE LTDA</t>
  </si>
  <si>
    <t>38160705000149</t>
  </si>
  <si>
    <t>GSM PORTAL DE INFORMACOES LTDA</t>
  </si>
  <si>
    <t>44547056000136</t>
  </si>
  <si>
    <t>JOSE CARLOS FERREIRA SOCIEDADE INDIVIDUAL DE ADVOCACIA</t>
  </si>
  <si>
    <t>46858360000120</t>
  </si>
  <si>
    <t>ADRIANO FARIAS SOCIEDADE INDIVIDUAL DE ADVOCACIA</t>
  </si>
  <si>
    <t>39439816000151</t>
  </si>
  <si>
    <t>NINJA BURGUER LTDA</t>
  </si>
  <si>
    <t>62660285000144</t>
  </si>
  <si>
    <t>CUNHA COMERCIO DE VEICULOS LTDA</t>
  </si>
  <si>
    <t>59993026000120</t>
  </si>
  <si>
    <t>AYLA VANESSA DE SOUSA SILVA</t>
  </si>
  <si>
    <t>11125668000181</t>
  </si>
  <si>
    <t>MEGABAL INSTALACAO MANUTENCAO E SERVICOS ELETRICOS LTDA</t>
  </si>
  <si>
    <t>30283127000126</t>
  </si>
  <si>
    <t>MELLOS PINTURAS LTDA</t>
  </si>
  <si>
    <t>58544194000176</t>
  </si>
  <si>
    <t>FALCON COMUNICACAO VISUAL LTDA</t>
  </si>
  <si>
    <t>63112778000102</t>
  </si>
  <si>
    <t>CESAR RENATO BARBOSA DE CARVALHO SOCIEDADE INDIVIDUAL DE ADVOCACIA</t>
  </si>
  <si>
    <t>63112958000194</t>
  </si>
  <si>
    <t>SAMUEL RIBEIRO DE OLIVEIRA ENGENHARIA AMBIENTAL</t>
  </si>
  <si>
    <t>47936243000108</t>
  </si>
  <si>
    <t>EL WESTERN COMERCIAL LTDA</t>
  </si>
  <si>
    <t>29729547000104</t>
  </si>
  <si>
    <t>MOHR CONCEITO DIGITAL LTDA</t>
  </si>
  <si>
    <t>29532323000108</t>
  </si>
  <si>
    <t>GAMA GESTAO CONDOMINIAL LTDA</t>
  </si>
  <si>
    <t>59617559000108</t>
  </si>
  <si>
    <t>AEROUDI AEROMODELISMO DE UBERLANDIA LTDA</t>
  </si>
  <si>
    <t>61678056000194</t>
  </si>
  <si>
    <t>CEO PRIME VANS LTDA</t>
  </si>
  <si>
    <t>62419365000102</t>
  </si>
  <si>
    <t>JANAINA CRISTINA DA ROCHA GONCALVES</t>
  </si>
  <si>
    <t>61547486000177</t>
  </si>
  <si>
    <t>LAERCIO JOSE LACERDA ROCHA SOCIEDADE INDIVIDUAL DE ADVOCACIA</t>
  </si>
  <si>
    <t>17234223000116</t>
  </si>
  <si>
    <t>J C S CIA LTDA</t>
  </si>
  <si>
    <t>35714142000103</t>
  </si>
  <si>
    <t>MOM NUTRICAO E BEM ESTAR LTDA</t>
  </si>
  <si>
    <t>54941946000181</t>
  </si>
  <si>
    <t>S G R GONCALVES LTDA</t>
  </si>
  <si>
    <t>60049804000107</t>
  </si>
  <si>
    <t>CLOVIS JUNIOR SOCIEDADE INDIVIDUAL DE ADVOCACIA</t>
  </si>
  <si>
    <t>60014695000192</t>
  </si>
  <si>
    <t>POUSADA COSTAMAR LTDA</t>
  </si>
  <si>
    <t>13399933000145</t>
  </si>
  <si>
    <t>DIERSMANN REPRESENTACAO COMERCIAL LTDA</t>
  </si>
  <si>
    <t>55348457000183</t>
  </si>
  <si>
    <t>G MENDES NEGOCIOS IMOBILIARIOS LTDA</t>
  </si>
  <si>
    <t>18133846000165</t>
  </si>
  <si>
    <t>MACHADO FEITOSA CONSTRUCOES E SERVICOS LTDA</t>
  </si>
  <si>
    <t>15345049000153</t>
  </si>
  <si>
    <t>FONTANA MULTIMARCAS COMERCIO DE VEICULOS LTDA</t>
  </si>
  <si>
    <t>24198663000120</t>
  </si>
  <si>
    <t>ATLANTIS SERVICOS TERAPEUTICOS LTDA</t>
  </si>
  <si>
    <t>52272281000135</t>
  </si>
  <si>
    <t>LUIZ LEAL PRODUCOES E EVENTOS LTDA</t>
  </si>
  <si>
    <t>55017893000170</t>
  </si>
  <si>
    <t>ESPACO RESILLIENCE LTDA</t>
  </si>
  <si>
    <t>05790685000130</t>
  </si>
  <si>
    <t>WMR EMPREENDIMENTOS E EVENTOS LTDA</t>
  </si>
  <si>
    <t>27244830000110</t>
  </si>
  <si>
    <t>IDEIA FABULOSA SERVICOS DE COMUNICACAO LTDA</t>
  </si>
  <si>
    <t>60626388000162</t>
  </si>
  <si>
    <t>MVA EMBALAGEM LTDA</t>
  </si>
  <si>
    <t>29277292000196</t>
  </si>
  <si>
    <t>TENDA DA LUZ LTDA</t>
  </si>
  <si>
    <t>36986551000113</t>
  </si>
  <si>
    <t>COLETIVO CRISA SANTOS LTDA</t>
  </si>
  <si>
    <t>20203914000167</t>
  </si>
  <si>
    <t>GATTI SOLAR SISTEMAS FOTOVOLTAICOS LTDA</t>
  </si>
  <si>
    <t>62989227000169</t>
  </si>
  <si>
    <t>LUCIANO ESPARAPANI SOCIEDADE INDIVIDUAL DE ADVOCACIA</t>
  </si>
  <si>
    <t>55880126000190</t>
  </si>
  <si>
    <t>TH CARS LTDA</t>
  </si>
  <si>
    <t>12674840000119</t>
  </si>
  <si>
    <t>PREAGRO SISTEMAS E EQUIPAMENTOS CONSTRUTIVOS LTDA</t>
  </si>
  <si>
    <t>31524726000157</t>
  </si>
  <si>
    <t>UNIVESTPIRA UNIFORMES LTDA</t>
  </si>
  <si>
    <t>57700758000150</t>
  </si>
  <si>
    <t>RAIZZ COMERCIO DE OCULOS E ACESSORIOS DE MODA LTDA</t>
  </si>
  <si>
    <t>51505713000148</t>
  </si>
  <si>
    <t>MARINA CASTALDELLI SOCIEDADE INDIVIDUAL DE ADVOCACIA</t>
  </si>
  <si>
    <t>62951084000104</t>
  </si>
  <si>
    <t>B MARTINELI LTDA</t>
  </si>
  <si>
    <t>36740105000124</t>
  </si>
  <si>
    <t>PINGO DAGUA MULTISSERVICOS LTDA</t>
  </si>
  <si>
    <t>24601302000183</t>
  </si>
  <si>
    <t>A K SERVICOS DE DESIGNERS LTDA</t>
  </si>
  <si>
    <t>63238202000196</t>
  </si>
  <si>
    <t>MARIANA CHIOTE SOCIEDADE INDIVIDUAL DE ADVOCACIA</t>
  </si>
  <si>
    <t>56973330000118</t>
  </si>
  <si>
    <t>A X L SOLUCOES INDUSTRIAIS LTDA</t>
  </si>
  <si>
    <t>62908946000108</t>
  </si>
  <si>
    <t>PINHO ENGENHARIA LTDA</t>
  </si>
  <si>
    <t>24521280000141</t>
  </si>
  <si>
    <t>ALAN RODRIGO MENDES CABRINI SOCIEDADE INDIVIDUAL DE ADVOCACIA</t>
  </si>
  <si>
    <t>59172363000157</t>
  </si>
  <si>
    <t>MAOS QUE TOCAM HOME CARE LTDA</t>
  </si>
  <si>
    <t>62944763000148</t>
  </si>
  <si>
    <t>VALERIA SPIESS COMERCIO DE PESCADOS E DERIVADOS LTDA</t>
  </si>
  <si>
    <t>27167664000104</t>
  </si>
  <si>
    <t>BRIGADA CIVIL SAR LTDA</t>
  </si>
  <si>
    <t>60296394000107</t>
  </si>
  <si>
    <t>JMK REFRIGERACAO LTDA</t>
  </si>
  <si>
    <t>15096874000161</t>
  </si>
  <si>
    <t>USINAGEM PASSAUNA LTDA</t>
  </si>
  <si>
    <t>44816872000106</t>
  </si>
  <si>
    <t>LH TRANSPORTES E LOGISTICA LTDA</t>
  </si>
  <si>
    <t>40807789000101</t>
  </si>
  <si>
    <t>DEGAS BEER LTDA</t>
  </si>
  <si>
    <t>63068199000100</t>
  </si>
  <si>
    <t>BICHOS E CIA AGROPET LTDA</t>
  </si>
  <si>
    <t>62893850000113</t>
  </si>
  <si>
    <t>PALIOTTI CARVALHO GASTRONOMIA LTDA</t>
  </si>
  <si>
    <t>62642093000105</t>
  </si>
  <si>
    <t>AMIS SAUDE EM MOVIMENTO LTDA</t>
  </si>
  <si>
    <t>63086728000106</t>
  </si>
  <si>
    <t>CHRISTIAN ANDREAS FISCHER GONCALVES COMERCIO</t>
  </si>
  <si>
    <t>23444171000105</t>
  </si>
  <si>
    <t>FABIANA GERMINIANI MACHADO LTDA</t>
  </si>
  <si>
    <t>62557080000138</t>
  </si>
  <si>
    <t>PRIME LOCADORA DE AUTOMOVEIS LTDA</t>
  </si>
  <si>
    <t>51460478000135</t>
  </si>
  <si>
    <t>ESPACO HBN MERCEARIA E COMERCIO LTDA</t>
  </si>
  <si>
    <t>59040969000139</t>
  </si>
  <si>
    <t>BARBOZA INVESTIMENTOS LTDA</t>
  </si>
  <si>
    <t>41705185000117</t>
  </si>
  <si>
    <t>CONFAB ASSESSORIA CONTABIL LTDA</t>
  </si>
  <si>
    <t>52038269000160</t>
  </si>
  <si>
    <t>PAPELLARE PAPELARIA FOFA E ARTESANATO LTDA</t>
  </si>
  <si>
    <t>50665773000165</t>
  </si>
  <si>
    <t>RUBENS APARECIDO NAVARRO MECANICA PARA AUTOS LTDA</t>
  </si>
  <si>
    <t>58068418000110</t>
  </si>
  <si>
    <t>SD ELETRO LTDA</t>
  </si>
  <si>
    <t>41416951000123</t>
  </si>
  <si>
    <t>ALTY ELEVADORES LTDA</t>
  </si>
  <si>
    <t>57979242000196</t>
  </si>
  <si>
    <t>DROGARIA SANTO AGOSTINHO LTDA</t>
  </si>
  <si>
    <t>59254883000109</t>
  </si>
  <si>
    <t>ELETRONICA ARAUJO LTDA</t>
  </si>
  <si>
    <t>53881461000187</t>
  </si>
  <si>
    <t>PUPILOS TRANSPORTES LTDA</t>
  </si>
  <si>
    <t>18935121000190</t>
  </si>
  <si>
    <t>FS CONSULTORIA COMERCIAL LTDA</t>
  </si>
  <si>
    <t>97123343000185</t>
  </si>
  <si>
    <t>ADALIAH MOVEIS LTDA</t>
  </si>
  <si>
    <t>55366528000170</t>
  </si>
  <si>
    <t>MCL BURGER LTDA</t>
  </si>
  <si>
    <t>56379468000193</t>
  </si>
  <si>
    <t>CARLOS PARTICIPACOES DE NEGOCIOS LTDA</t>
  </si>
  <si>
    <t>57985143000117</t>
  </si>
  <si>
    <t>K B DE SOUZA CONSTRUCOES LTDA</t>
  </si>
  <si>
    <t>60256874000136</t>
  </si>
  <si>
    <t>VELARE COSMETICOS LTDA</t>
  </si>
  <si>
    <t>01159006000179</t>
  </si>
  <si>
    <t>FLORTEX COMERCIO DE PRODUTOS HOSPITALARES LTDA</t>
  </si>
  <si>
    <t>63094078000132</t>
  </si>
  <si>
    <t>WIR INNOVATION LTDA</t>
  </si>
  <si>
    <t>08210704000109</t>
  </si>
  <si>
    <t>E A GOMES BERNARDI LTDA</t>
  </si>
  <si>
    <t>49086478000175</t>
  </si>
  <si>
    <t>HOLZDREW WOODWORK LTDA</t>
  </si>
  <si>
    <t>62986332000144</t>
  </si>
  <si>
    <t>H RODRIGUES DE OLIVEIRA JUNIOR LTDA</t>
  </si>
  <si>
    <t>54372460000170</t>
  </si>
  <si>
    <t>MORETHANGEEK LTDA</t>
  </si>
  <si>
    <t>29234704000100</t>
  </si>
  <si>
    <t>GM COMERCIO ATACADO E SERVICOS LTDA</t>
  </si>
  <si>
    <t>62867773000127</t>
  </si>
  <si>
    <t>KOMUGIKO COMERCIO DE TRIGO FARINHA E DERIVADOS LTDA</t>
  </si>
  <si>
    <t>59408597000150</t>
  </si>
  <si>
    <t>AE CONFECCOES LTDA</t>
  </si>
  <si>
    <t>17697576000152</t>
  </si>
  <si>
    <t>COMERCIO E SERVICOS DE MANUTENCAO DE AUTOMOTORES LTDA</t>
  </si>
  <si>
    <t>60089410000182</t>
  </si>
  <si>
    <t>OLIVIA DISTRIBUIDORA DE FRUTAS E LEGUMES LTDA</t>
  </si>
  <si>
    <t>36985400000140</t>
  </si>
  <si>
    <t>NATUBAHIA DISTRIBUIDORA DE PRODUTOS NATURAIS LTDA</t>
  </si>
  <si>
    <t>44519503000143</t>
  </si>
  <si>
    <t>DJL TRABALHO EM ALTURA LTDA</t>
  </si>
  <si>
    <t>63057844000199</t>
  </si>
  <si>
    <t>MLOG APOIO ADMINISTRATIVO LTDA</t>
  </si>
  <si>
    <t>57579551000179</t>
  </si>
  <si>
    <t>TRANSPORTADORA TR FALACI LTDA</t>
  </si>
  <si>
    <t>18020683000104</t>
  </si>
  <si>
    <t>PRIME PRE MOLDADOS LTDA</t>
  </si>
  <si>
    <t>54166234000132</t>
  </si>
  <si>
    <t>REGINALDO DE JESUS SANTOS LTDA</t>
  </si>
  <si>
    <t>62934758000154</t>
  </si>
  <si>
    <t>LANCHONETE SABORES DE MINAS II LTDA</t>
  </si>
  <si>
    <t>43515608000161</t>
  </si>
  <si>
    <t>GD SEEDS COMERCIAL AGRICOLA LTDA</t>
  </si>
  <si>
    <t>48803901000148</t>
  </si>
  <si>
    <t>VALCAR AUTO CENTER LTDA</t>
  </si>
  <si>
    <t>59453683000185</t>
  </si>
  <si>
    <t>61008409000149</t>
  </si>
  <si>
    <t>OTAVIO PINA PRADO MOTOS LTDA</t>
  </si>
  <si>
    <t>56379624000116</t>
  </si>
  <si>
    <t>MEPRE MECANICA PNEUMATICA RETIFICA E ELETRONICA LTDA</t>
  </si>
  <si>
    <t>33160826000177</t>
  </si>
  <si>
    <t>VIVERDE COMERCIAL INDUSTRIA COMERCIO E SERVICOS LTDA</t>
  </si>
  <si>
    <t>63014900000108</t>
  </si>
  <si>
    <t>AZV ESTRATEGIAS DE VENDAS LTDA</t>
  </si>
  <si>
    <t>12319594000187</t>
  </si>
  <si>
    <t>KAZEN COMERCIO DE PECAS E SERVICOS DE REFRIGERACAO LTDA</t>
  </si>
  <si>
    <t>11454946000144</t>
  </si>
  <si>
    <t>CUIABA CREDITO LTDA</t>
  </si>
  <si>
    <t>52770102000190</t>
  </si>
  <si>
    <t>MENINO JESUS EDUCACIONAL LTDA</t>
  </si>
  <si>
    <t>46790298000181</t>
  </si>
  <si>
    <t>FADELLE SHAKE LTDA</t>
  </si>
  <si>
    <t>62886467000138</t>
  </si>
  <si>
    <t>FROIS BURGUER LTDA</t>
  </si>
  <si>
    <t>22101624000138</t>
  </si>
  <si>
    <t>RODRIGO CELESTINO DOS SANTOS SOUSA</t>
  </si>
  <si>
    <t>24360718000157</t>
  </si>
  <si>
    <t>RAH MANUTENCOES LTDA</t>
  </si>
  <si>
    <t>55683352000180</t>
  </si>
  <si>
    <t>CARAGUA ELETRONICOS LTDA</t>
  </si>
  <si>
    <t>51637440000195</t>
  </si>
  <si>
    <t>CFACAS METALURGICA LTDA</t>
  </si>
  <si>
    <t>20018285000103</t>
  </si>
  <si>
    <t>CENTRO ESTETICO LHUANNA ZAMBIANCO LTDA</t>
  </si>
  <si>
    <t>26143168000140</t>
  </si>
  <si>
    <t>SOLUCAO VIDRACARIA LTDA</t>
  </si>
  <si>
    <t>62376137000100</t>
  </si>
  <si>
    <t>ALUMINIONLINE COMERCIO DE ALUMINIO LTDA</t>
  </si>
  <si>
    <t>11440681000125</t>
  </si>
  <si>
    <t>ELETRO EIDT COMERCIO DE MATERIAL ELETRICO LTDA</t>
  </si>
  <si>
    <t>38365505000122</t>
  </si>
  <si>
    <t>BOTTE DECOR INDUSTRIA E COMERCIO DE MOVEIS LTDA</t>
  </si>
  <si>
    <t>40600491000126</t>
  </si>
  <si>
    <t>EFRAIM SOLUCOES GOVERNAMENTAIS LTDA</t>
  </si>
  <si>
    <t>63024338000101</t>
  </si>
  <si>
    <t>CSM SOLUCOES LTDA</t>
  </si>
  <si>
    <t>57154694000139</t>
  </si>
  <si>
    <t>PARTY MUSIC BRINDES LTDA</t>
  </si>
  <si>
    <t>22727490000165</t>
  </si>
  <si>
    <t>ORQUESTRA SINFONICA DE SANTA CATARINA OSSCA</t>
  </si>
  <si>
    <t>00387129000102</t>
  </si>
  <si>
    <t>ODONTOVITAL DRAALINE TERTULIANO LTDA</t>
  </si>
  <si>
    <t>08667757000145</t>
  </si>
  <si>
    <t>QUANTO CONSULTORIA ADMINISTRATIVA E FINANCEIRA LTDA</t>
  </si>
  <si>
    <t>29123040000102</t>
  </si>
  <si>
    <t>LSP CONSTRUCOES E ALVENARIA LTDA</t>
  </si>
  <si>
    <t>62412403000103</t>
  </si>
  <si>
    <t>SARAH CELESTINO ANDRADE OLIVEIRA</t>
  </si>
  <si>
    <t>33963449000104</t>
  </si>
  <si>
    <t>EZEQUIEL DA SILVA PINHEIRO LTDA</t>
  </si>
  <si>
    <t>28516456000128</t>
  </si>
  <si>
    <t>ZANELLA INSTALACOES ELETRICAS E HIDRAULICAS LTDA</t>
  </si>
  <si>
    <t>40224379000138</t>
  </si>
  <si>
    <t>ROTA MULTIMARCAS LTDA</t>
  </si>
  <si>
    <t>62540173000150</t>
  </si>
  <si>
    <t>ADRIANO MIRANDA TREINAMENTOS LTDA</t>
  </si>
  <si>
    <t>45061387000124</t>
  </si>
  <si>
    <t>DEBORA MARIA SANTOS DA SILVA LTDA</t>
  </si>
  <si>
    <t>12476483000184</t>
  </si>
  <si>
    <t>C AZEVEDO MARQUES LTDA</t>
  </si>
  <si>
    <t>62997829000168</t>
  </si>
  <si>
    <t>LEONARDO PATRIARCA SOCIEDADE INDIVIDUAL DE ADVOCACIA</t>
  </si>
  <si>
    <t>61590115000178</t>
  </si>
  <si>
    <t>APETEC PECAS E SOLUCOES PARA PLANTIO DE ALTA PERFORMANCE LTDA</t>
  </si>
  <si>
    <t>25317031000100</t>
  </si>
  <si>
    <t>DISTRIBUIDORA ARMAZEM DAS RACOES LTDA</t>
  </si>
  <si>
    <t>16524770000173</t>
  </si>
  <si>
    <t>GESSO SHOW LTDA</t>
  </si>
  <si>
    <t>54908271000179</t>
  </si>
  <si>
    <t>CLASSE A DRYWALL LTDA</t>
  </si>
  <si>
    <t>62951886000106</t>
  </si>
  <si>
    <t>VERITAS GROUP CONSULTORIA EMPRESARIAL LIMITADA</t>
  </si>
  <si>
    <t>52250801000109</t>
  </si>
  <si>
    <t>AGILMETAL E CONSTRUTORA LTDA</t>
  </si>
  <si>
    <t>50869939000165</t>
  </si>
  <si>
    <t>INSTITUTO CULTURAL WALDISA RUSSIO ICWR</t>
  </si>
  <si>
    <t>62865770000154</t>
  </si>
  <si>
    <t>SHARK DIGITAL COMMERCE LTDA</t>
  </si>
  <si>
    <t>62316516000105</t>
  </si>
  <si>
    <t>D N DE OLIVEIRA BARBOZA SERVICOS E EVENTOS</t>
  </si>
  <si>
    <t>60328327000119</t>
  </si>
  <si>
    <t>RLDL EMBALAGENS LTDA</t>
  </si>
  <si>
    <t>41404661000160</t>
  </si>
  <si>
    <t>ALINE RIBEIRO SOCIEDADE INDIVIDUAL DE ADVOCACIA</t>
  </si>
  <si>
    <t>60513745000186</t>
  </si>
  <si>
    <t>J A FERREIRA COMERCIO LTDA</t>
  </si>
  <si>
    <t>63111141000100</t>
  </si>
  <si>
    <t>JL SERVICOS E ENGENHARIA LTDA</t>
  </si>
  <si>
    <t>50547739000196</t>
  </si>
  <si>
    <t>HELDER DE LIMA FREITAS SOCIEDADE INDIVIDUAL DE ADVOCACIA</t>
  </si>
  <si>
    <t>44221776000107</t>
  </si>
  <si>
    <t>GSS REPRESENTACOES MARKETING E CONSULTORIA EMPRESARIAL LTDA</t>
  </si>
  <si>
    <t>57718120000146</t>
  </si>
  <si>
    <t>GARAGE MANUTENCAO AUTOMOTIVA LTDA</t>
  </si>
  <si>
    <t>40633365000178</t>
  </si>
  <si>
    <t>NINA DOSSIE CONFEITARIA E CAFETERIA LTDA</t>
  </si>
  <si>
    <t>49752870000106</t>
  </si>
  <si>
    <t>ALIFF CRISTIANO SIQUEIRA</t>
  </si>
  <si>
    <t>33157782000126</t>
  </si>
  <si>
    <t>FARMA GOIAS LTDA</t>
  </si>
  <si>
    <t>60402927000180</t>
  </si>
  <si>
    <t>LUAN TRANSPORTE E DISTRIBUIDORA DE AGUA POTAVEL LTDA</t>
  </si>
  <si>
    <t>31412610000126</t>
  </si>
  <si>
    <t>L G N DE OLIVEIRA LTDA</t>
  </si>
  <si>
    <t>23075323000140</t>
  </si>
  <si>
    <t>APROM ENGENHARIA LTDA</t>
  </si>
  <si>
    <t>62548853000110</t>
  </si>
  <si>
    <t>OLIVEIRA CONTADORES ASSOCIADOS LTDA</t>
  </si>
  <si>
    <t>37128534000108</t>
  </si>
  <si>
    <t>DAVIES IMPORTACAO E EXPORTACAO LTDA</t>
  </si>
  <si>
    <t>58034775000168</t>
  </si>
  <si>
    <t>FERREIRA SERVICOS LTDA</t>
  </si>
  <si>
    <t>25530573000158</t>
  </si>
  <si>
    <t>SOARES BARBOSA SOCIEDADE INDIVIDUAL DE ADVOCACIA</t>
  </si>
  <si>
    <t>47053464000120</t>
  </si>
  <si>
    <t>PETRA ENGENHARIA CONSTRUTORA LTDA</t>
  </si>
  <si>
    <t>31860740000121</t>
  </si>
  <si>
    <t>SALUTE SEGURANCA E SAUDE OCUPACIONAL LTDA</t>
  </si>
  <si>
    <t>31466380000188</t>
  </si>
  <si>
    <t>LEONNARDO PRADO SOCIEDADE INDIVIDUAL DE ADVOCACIA</t>
  </si>
  <si>
    <t>08353364000167</t>
  </si>
  <si>
    <t>PEDRO VALERIANO MORO VIEIRA JUNIOR LTDA</t>
  </si>
  <si>
    <t>61116163000129</t>
  </si>
  <si>
    <t>GESSO FERREIRENSE CONSTRUCAO LTDA</t>
  </si>
  <si>
    <t>60568956000116</t>
  </si>
  <si>
    <t>MISTER BARBAS LTDA</t>
  </si>
  <si>
    <t>28447278000120</t>
  </si>
  <si>
    <t>JOSE PAULO DE PINA</t>
  </si>
  <si>
    <t>59043797000157</t>
  </si>
  <si>
    <t>VOLPATO MANUTENCAO E REPAROS DE EQUIPAMENTOS LTDA</t>
  </si>
  <si>
    <t>53376068000136</t>
  </si>
  <si>
    <t>CALMWALK LTDA</t>
  </si>
  <si>
    <t>62941462000160</t>
  </si>
  <si>
    <t>THIANA KONESKI SOCIEDADE INDIVIDUAL DE ADVOCACIA</t>
  </si>
  <si>
    <t>62291137000108</t>
  </si>
  <si>
    <t>PISCINAS SPAS REAL LTDA</t>
  </si>
  <si>
    <t>62468416000196</t>
  </si>
  <si>
    <t>PARIS D MINAS LTDA</t>
  </si>
  <si>
    <t>42349872000100</t>
  </si>
  <si>
    <t>ELEVATE IMOBI LTDA</t>
  </si>
  <si>
    <t>42377750000127</t>
  </si>
  <si>
    <t>ONE DESPACHANTE LTDA</t>
  </si>
  <si>
    <t>62274660000118</t>
  </si>
  <si>
    <t>REDE CAPITAL GROUP LTDA</t>
  </si>
  <si>
    <t>63156507000159</t>
  </si>
  <si>
    <t>EMPORIO COMEDY LTDA</t>
  </si>
  <si>
    <t>63023108000110</t>
  </si>
  <si>
    <t>EVOLUTION STUDIO FITNESS LTDA</t>
  </si>
  <si>
    <t>52231360000106</t>
  </si>
  <si>
    <t>J VALENTIM TRANSPORTES LTDA</t>
  </si>
  <si>
    <t>60908689000189</t>
  </si>
  <si>
    <t>SILVA TRANSPORTES E COMERCIO DE FERTILIZANTES LTDA</t>
  </si>
  <si>
    <t>39540502000140</t>
  </si>
  <si>
    <t>IGOR DE MELO SOUSA SOCIEDADE INDIVIDUAL DE ADVOCACIA</t>
  </si>
  <si>
    <t>45949022000130</t>
  </si>
  <si>
    <t>VISION RASTREAMENTO E SERVICOS LTDA</t>
  </si>
  <si>
    <t>63264186000106</t>
  </si>
  <si>
    <t>WHIRLEY MELO SOCIEDADE INDIVIDUAL DE ADVOCACIA</t>
  </si>
  <si>
    <t>27102089000153</t>
  </si>
  <si>
    <t>A GARCIA FARIAS LTDA</t>
  </si>
  <si>
    <t>58563794000181</t>
  </si>
  <si>
    <t>EVERTON BATISTA DA SILVA TERAPEUTA OCUPACIONAL</t>
  </si>
  <si>
    <t>62716498000140</t>
  </si>
  <si>
    <t>PRIMOS CASA DE CARNES LTDA</t>
  </si>
  <si>
    <t>24954550000108</t>
  </si>
  <si>
    <t>TAROUCO BATISTA SOCIEDADE INDIVIDUAL DE ADVOCACIA</t>
  </si>
  <si>
    <t>44454139000180</t>
  </si>
  <si>
    <t>MORENA NOGUEIRA REPRESENTACOES COMERCIAIS LTDA</t>
  </si>
  <si>
    <t>38245186000111</t>
  </si>
  <si>
    <t>P VIEIRA DA SILVA LTDA</t>
  </si>
  <si>
    <t>54978252000119</t>
  </si>
  <si>
    <t>ANALISE CLINICA ANIMAL LTDA</t>
  </si>
  <si>
    <t>34089291000158</t>
  </si>
  <si>
    <t>GERSON DE SOUZA SOCIEDADE INDIVIDUAL DE ADVOCACIA</t>
  </si>
  <si>
    <t>09454632000108</t>
  </si>
  <si>
    <t>TBA SPORTS LTDA</t>
  </si>
  <si>
    <t>45484998000185</t>
  </si>
  <si>
    <t>DIONE EVENTOS PERSONALIZADOS LTDA</t>
  </si>
  <si>
    <t>59383568000181</t>
  </si>
  <si>
    <t>VALTEC ASSISTENCIA TECNICA E INSTALACAO EM POSTOS DE COMBUSTIVEIS LTDA</t>
  </si>
  <si>
    <t>63093083000120</t>
  </si>
  <si>
    <t>BS TECNOLOGIA E INOVACAO LTDA</t>
  </si>
  <si>
    <t>39446283000135</t>
  </si>
  <si>
    <t>CODEBOSS TECHNOLOGY LTDA</t>
  </si>
  <si>
    <t>62724045000166</t>
  </si>
  <si>
    <t>GISLAINE LUIZ PEREIRA BRASILEIRO SOCIEDADE INDIVIDUAL DE ADVOCACIA</t>
  </si>
  <si>
    <t>62434384000108</t>
  </si>
  <si>
    <t>MIND BE FLOW LTDA</t>
  </si>
  <si>
    <t>15254254000103</t>
  </si>
  <si>
    <t>AGROCAMPO INOVACOES LTDA</t>
  </si>
  <si>
    <t>10589201000120</t>
  </si>
  <si>
    <t>LIBERT COPIADORA E GRAFICA LTDA</t>
  </si>
  <si>
    <t>43562466000193</t>
  </si>
  <si>
    <t>AGROGER CONSULTORIA E ASSESSORIA AGRONOMICA LTDA</t>
  </si>
  <si>
    <t>61703386000192</t>
  </si>
  <si>
    <t>NEWS DESIGN MOVEIS E DECORACAO E SERVICOS LTDA</t>
  </si>
  <si>
    <t>32754104000188</t>
  </si>
  <si>
    <t>BIAGIOTTI MARTINELLI ODONTOLOGIA AVANCADA LTDA</t>
  </si>
  <si>
    <t>04964562000106</t>
  </si>
  <si>
    <t>EMPLUS ENGENHARIA PROJETOS E CONSTRUCOES LTDA</t>
  </si>
  <si>
    <t>22171522000199</t>
  </si>
  <si>
    <t>T C OLIVEIRA ALVES LTDA</t>
  </si>
  <si>
    <t>51123509000162</t>
  </si>
  <si>
    <t>L S FONAVI SERVICOS DE FONOAUDIOLOGIA LTDA</t>
  </si>
  <si>
    <t>62993288000108</t>
  </si>
  <si>
    <t>SANTIAGO PARRON E PAMPADO SOCIEDADE DE ADVOGADOS</t>
  </si>
  <si>
    <t>46651282000198</t>
  </si>
  <si>
    <t>SOLUTECH CLIMATIZACAO ELETRICA LTDA</t>
  </si>
  <si>
    <t>53653947000168</t>
  </si>
  <si>
    <t>LEONARDO BERTANHA DAMASCENO LTDA</t>
  </si>
  <si>
    <t>53112987000100</t>
  </si>
  <si>
    <t>CLAUDIONOR JOSE DE ALMEIDA GUEDES</t>
  </si>
  <si>
    <t>60750724000184</t>
  </si>
  <si>
    <t>ANGELUZ ELETRICA LTDA</t>
  </si>
  <si>
    <t>31069697000180</t>
  </si>
  <si>
    <t>MUCURY S COMERCIAL DA CONSTRUCAO LTDA</t>
  </si>
  <si>
    <t>46221762000119</t>
  </si>
  <si>
    <t>GCR CONSTRUTORA LTDA</t>
  </si>
  <si>
    <t>12824952000109</t>
  </si>
  <si>
    <t>CRITECINOX COMERCIO EQUIPAMENTOS INDUSTRIAIS LTDA</t>
  </si>
  <si>
    <t>31660849000115</t>
  </si>
  <si>
    <t>CLINICA DE PSICOLOGIA PSICOTECNICA LTDA</t>
  </si>
  <si>
    <t>43955163000130</t>
  </si>
  <si>
    <t>SERENISKI E FRAZAO PROJETOS E ENGENHARIA LTDA</t>
  </si>
  <si>
    <t>60124907000194</t>
  </si>
  <si>
    <t>INVESTING FLORIPA BRAZIL LTDA</t>
  </si>
  <si>
    <t>48962959000134</t>
  </si>
  <si>
    <t>VLP EMPREENDIMENTOS E PARTICIPACOES LTDA</t>
  </si>
  <si>
    <t>30558751000199</t>
  </si>
  <si>
    <t>R D CARDOSO ENGENHARIA SOLAR LTDA</t>
  </si>
  <si>
    <t>63060379000145</t>
  </si>
  <si>
    <t>UDI LIMOUSINES LTDA</t>
  </si>
  <si>
    <t>29927865000180</t>
  </si>
  <si>
    <t>JS ESTRUTURAS METALICAS LTDA</t>
  </si>
  <si>
    <t>58989031000105</t>
  </si>
  <si>
    <t>IMPER IMPERMEABILIZACOES E COMERCIO LTDA</t>
  </si>
  <si>
    <t>61624855000188</t>
  </si>
  <si>
    <t>J RODRIGUES BELLO LTDA</t>
  </si>
  <si>
    <t>62360859000169</t>
  </si>
  <si>
    <t>JOAO VITOR DOS SANTOS E SILVA LTDA</t>
  </si>
  <si>
    <t>24943519000171</t>
  </si>
  <si>
    <t>GUILHERME COHEN SOCIEDADE INDIVIDUAL DE ADVOCACIA</t>
  </si>
  <si>
    <t>42587206000100</t>
  </si>
  <si>
    <t>MARCOS ROSA SOCIEDADE INDIVIDUAL DE ADVOCACIA</t>
  </si>
  <si>
    <t>33120298000122</t>
  </si>
  <si>
    <t>KATIA MACEDO DE OLIVEIRA SOCIEDADE INDIVIDUAL DE ADVOCACIA</t>
  </si>
  <si>
    <t>24699005000112</t>
  </si>
  <si>
    <t>DIONISIO DE BARROS SOCIEDADE INDIVIDUAL DE ADVOCACIA</t>
  </si>
  <si>
    <t>00983873000161</t>
  </si>
  <si>
    <t>FUTURA TECNOLOGIA LTDA</t>
  </si>
  <si>
    <t>30515466000190</t>
  </si>
  <si>
    <t>TM ENGENHARIA LTDA</t>
  </si>
  <si>
    <t>28077465000160</t>
  </si>
  <si>
    <t>MARLON FREIMANN VIEIRA HERINGER SOCIEDADE INDIVIDUAL DE ADVOCACIA</t>
  </si>
  <si>
    <t>63111086000140</t>
  </si>
  <si>
    <t>MONTANO BRUTTON SOCIEDADE INDIVIDUAL DE ADVOCACIA</t>
  </si>
  <si>
    <t>39468341000121</t>
  </si>
  <si>
    <t>GOMES E RODRIGUES SOM ILUMINACAO E EVENTOS LTDA</t>
  </si>
  <si>
    <t>56729274000170</t>
  </si>
  <si>
    <t>MARINGA GAMES E INFORMATICA LTDA</t>
  </si>
  <si>
    <t>62269660000120</t>
  </si>
  <si>
    <t>TYPE DECOR COMERCIAL LTDA</t>
  </si>
  <si>
    <t>55433101000148</t>
  </si>
  <si>
    <t>VARIEDADES NET COMERCIO DE UTILIDADES LTDA</t>
  </si>
  <si>
    <t>23417016000108</t>
  </si>
  <si>
    <t>SITIO NOSSA SENHORA DE FATIMA</t>
  </si>
  <si>
    <t>37657056000123</t>
  </si>
  <si>
    <t>OMNI INFRAESTRUTURA E MEIO AMBIENTE LTDA</t>
  </si>
  <si>
    <t>02828517000107</t>
  </si>
  <si>
    <t>AVANTE CONSIGNADO LTDA</t>
  </si>
  <si>
    <t>00033760000103</t>
  </si>
  <si>
    <t>INSTITUTO NEXUS MP LTDA</t>
  </si>
  <si>
    <t>07216370000100</t>
  </si>
  <si>
    <t>JCF INDUSTRIA E COMERCIO DE ESFERAS LTDA</t>
  </si>
  <si>
    <t>48740980000195</t>
  </si>
  <si>
    <t>A RAMBO LTDA</t>
  </si>
  <si>
    <t>63266101000129</t>
  </si>
  <si>
    <t>APOLINARIO MOVEIS PLANEJADOS LTDA</t>
  </si>
  <si>
    <t>62987214000150</t>
  </si>
  <si>
    <t>L HUB CONSULTORIA EM PUBLICIDADE LTDA</t>
  </si>
  <si>
    <t>61964937000171</t>
  </si>
  <si>
    <t>GRAOS JARDIM CAFE LTDA</t>
  </si>
  <si>
    <t>09503140000157</t>
  </si>
  <si>
    <t>GUSTAVO R CAPUTO LTDA</t>
  </si>
  <si>
    <t>62992736000140</t>
  </si>
  <si>
    <t>JD GESTAO DE CONDOMINIOS LTDA</t>
  </si>
  <si>
    <t>63007418000140</t>
  </si>
  <si>
    <t>MARTIN CONSULTORIA LTDA</t>
  </si>
  <si>
    <t>11371482000102</t>
  </si>
  <si>
    <t>RUBYO ANJOS SOCIEDADE INDIVIDUAL DE ADVOCACIA</t>
  </si>
  <si>
    <t>61305147000184</t>
  </si>
  <si>
    <t>R VAZ MOVEIS E ELETRO LTDA</t>
  </si>
  <si>
    <t>55199049000107</t>
  </si>
  <si>
    <t>ANALUH SHOP LTDA</t>
  </si>
  <si>
    <t>62948698000129</t>
  </si>
  <si>
    <t>LEHMANN CORRETORA DE SEGUROS LTDA</t>
  </si>
  <si>
    <t>53563357000144</t>
  </si>
  <si>
    <t>E CALIXTO DE ARAUJO LTDA</t>
  </si>
  <si>
    <t>62826919000196</t>
  </si>
  <si>
    <t>SOL DE PEPITA ECOMMERCE LTDA</t>
  </si>
  <si>
    <t>35493388000194</t>
  </si>
  <si>
    <t>ELISSON ANDREATO TIZIOTTI E CIA LTDA</t>
  </si>
  <si>
    <t>62810681000100</t>
  </si>
  <si>
    <t>SIGMA CONTABILIDADE IPATINGA LTDA</t>
  </si>
  <si>
    <t>51955350000142</t>
  </si>
  <si>
    <t>LAMONIELE COSTA ESTETICA LTDA</t>
  </si>
  <si>
    <t>58404516000181</t>
  </si>
  <si>
    <t>AGRO TECH MONTAGENS LTDA</t>
  </si>
  <si>
    <t>58291440000125</t>
  </si>
  <si>
    <t>SPORTS LTDA</t>
  </si>
  <si>
    <t>62520373000140</t>
  </si>
  <si>
    <t>JOHANNE RICHARD LTDA</t>
  </si>
  <si>
    <t>41416457000169</t>
  </si>
  <si>
    <t>IRR SERVICOS LTDA</t>
  </si>
  <si>
    <t>62578052000105</t>
  </si>
  <si>
    <t>GUIMARAES COMERCIAL LTDA</t>
  </si>
  <si>
    <t>37041352000103</t>
  </si>
  <si>
    <t>ECODESCARTES MANUFATURA REVERSA LTDA</t>
  </si>
  <si>
    <t>43778934000161</t>
  </si>
  <si>
    <t>PENTAGONO ENGENHARIA E CONSTRUTORA LTDA</t>
  </si>
  <si>
    <t>29329253000195</t>
  </si>
  <si>
    <t>INOVA REPRESENTACOES LTDA</t>
  </si>
  <si>
    <t>52407011000194</t>
  </si>
  <si>
    <t>ERC VARIEDADES LTDA</t>
  </si>
  <si>
    <t>59348475000116</t>
  </si>
  <si>
    <t>L S GOMES LTDA</t>
  </si>
  <si>
    <t>39579640000133</t>
  </si>
  <si>
    <t>FRONTIER ENGENHARIA CONSULTORIA E SERVICOS LTDA</t>
  </si>
  <si>
    <t>38714517000115</t>
  </si>
  <si>
    <t>HERIBERTO PRODUCOES ARTISTICAS E EVENTOS LTDA</t>
  </si>
  <si>
    <t>61615047000154</t>
  </si>
  <si>
    <t>DANIELA MARTINS BORGES KALAKI LTDA</t>
  </si>
  <si>
    <t>42649746000170</t>
  </si>
  <si>
    <t>MARIA EDINETE TEIXEIRA DOS SANTOS SOCIEDADE INDIVIDUAL DE ADVOCACIA</t>
  </si>
  <si>
    <t>32281167000164</t>
  </si>
  <si>
    <t>AGENCIA MIDIA PROJETAR LTDA</t>
  </si>
  <si>
    <t>62993830000114</t>
  </si>
  <si>
    <t>E P PINTURAS LTDA</t>
  </si>
  <si>
    <t>39941574000108</t>
  </si>
  <si>
    <t>TEK TUDO LTDA</t>
  </si>
  <si>
    <t>42623449000156</t>
  </si>
  <si>
    <t>ANTONIO HENRIQUE DE ABREU JOAQUIM LTDA</t>
  </si>
  <si>
    <t>38823006000131</t>
  </si>
  <si>
    <t>EURIVAN AUTOPECAS E MECANICA LTDA</t>
  </si>
  <si>
    <t>13177660000194</t>
  </si>
  <si>
    <t>DEUS E FIEL COMERCIO DE MOVEIS LTDA</t>
  </si>
  <si>
    <t>42378371000151</t>
  </si>
  <si>
    <t>J L BEZERRA NUNES LTDA</t>
  </si>
  <si>
    <t>63056844000174</t>
  </si>
  <si>
    <t>CLINICA INTEGRADA INFANTIL SAO JOSE DOS CAMPOS LTDA</t>
  </si>
  <si>
    <t>61683118000156</t>
  </si>
  <si>
    <t>LAIS FERRARINI SOCIEDADE INDIVIDUAL DE ADVOCACIA</t>
  </si>
  <si>
    <t>05054365000112</t>
  </si>
  <si>
    <t>MS MOTOS COMERCIO DE PECAS LTDA</t>
  </si>
  <si>
    <t>02869160000105</t>
  </si>
  <si>
    <t>COMISSAO DE REPRESENTANTES DOS ADQUIRENTES DO EMPREENDIMENTO RESIDENCIAL PORTAL DA TAQUARA</t>
  </si>
  <si>
    <t>28614276000189</t>
  </si>
  <si>
    <t>MIDA ENGENHARIA LTDA</t>
  </si>
  <si>
    <t>25089023000145</t>
  </si>
  <si>
    <t>RAFAELLA DISTRIBUIDORA LTDA</t>
  </si>
  <si>
    <t>62992759000155</t>
  </si>
  <si>
    <t>KJ BORRACHARIA LTDA</t>
  </si>
  <si>
    <t>49087954000172</t>
  </si>
  <si>
    <t>LELIS DIAS LTDA</t>
  </si>
  <si>
    <t>62998114000120</t>
  </si>
  <si>
    <t>DANTAS CONSTRUTORA LTDA</t>
  </si>
  <si>
    <t>21239709000114</t>
  </si>
  <si>
    <t>D S L COMERCIO SERVICOS DE LOCACAO LTDA</t>
  </si>
  <si>
    <t>57466434000107</t>
  </si>
  <si>
    <t>M I DA SILVA PERFURACOES E FUNDACOES LTDA</t>
  </si>
  <si>
    <t>59591028000193</t>
  </si>
  <si>
    <t>LK MAGAZINE LTDA</t>
  </si>
  <si>
    <t>26840379000131</t>
  </si>
  <si>
    <t>LUCIANO JUWER LTDA</t>
  </si>
  <si>
    <t>12027441000166</t>
  </si>
  <si>
    <t>SOLUCAO USINAGEM LTDA</t>
  </si>
  <si>
    <t>62982952000105</t>
  </si>
  <si>
    <t>MARCO PAVA SOCIEDADE INDIVIDUAL DE ADVOCACIA</t>
  </si>
  <si>
    <t>57375183000147</t>
  </si>
  <si>
    <t>GUILHERME DE SOUZA RIBEIRO</t>
  </si>
  <si>
    <t>52532142000101</t>
  </si>
  <si>
    <t>DEBORA RIGO SOCIEDADE INDIVIDUAL DE ADVOCACIA</t>
  </si>
  <si>
    <t>63025655000134</t>
  </si>
  <si>
    <t>RM SERVICO DE PROMOCAO DE VENDAS LTDA</t>
  </si>
  <si>
    <t>63263723000101</t>
  </si>
  <si>
    <t>RS SOLUCOES ELETRICAS LTDA</t>
  </si>
  <si>
    <t>08285275000120</t>
  </si>
  <si>
    <t>L M DE CASTRO PECAS AUTOMOTIVAS LTDA</t>
  </si>
  <si>
    <t>62894000000130</t>
  </si>
  <si>
    <t>SH REPRESENTACOES LTDA</t>
  </si>
  <si>
    <t>59003180000108</t>
  </si>
  <si>
    <t>SL CONSULTORIA E OBRAS</t>
  </si>
  <si>
    <t>62855149000100</t>
  </si>
  <si>
    <t>HB AMARAL LOCACOES DE ESTRUTURAS LTDA</t>
  </si>
  <si>
    <t>42351209000140</t>
  </si>
  <si>
    <t>GUERREIRO COMERCIO DE VEICULOS LTDA</t>
  </si>
  <si>
    <t>55785373000107</t>
  </si>
  <si>
    <t>CENTRO DE ESTUDOS EVOLUCAO LTDA</t>
  </si>
  <si>
    <t>57765469000139</t>
  </si>
  <si>
    <t>MARCIA REIS BRAGA WOLLMEISTER EM RECUPERACAO JUDICIAL</t>
  </si>
  <si>
    <t>59885682000100</t>
  </si>
  <si>
    <t>LUX EMPREENDIMENTOS SERVICOS LTDA</t>
  </si>
  <si>
    <t>59969432000158</t>
  </si>
  <si>
    <t>PLAYCUE EVENTOS LTDA</t>
  </si>
  <si>
    <t>63115218000101</t>
  </si>
  <si>
    <t>SIMPLE IT SOLUCOES EM TECNOLOGIA LTDA</t>
  </si>
  <si>
    <t>63166750000158</t>
  </si>
  <si>
    <t>J R S ARQUITETURA E CONSTRUCAO LTDA</t>
  </si>
  <si>
    <t>62991552000166</t>
  </si>
  <si>
    <t>NEXO PROLINK LTDA</t>
  </si>
  <si>
    <t>62852083000102</t>
  </si>
  <si>
    <t>CLUBE BEAUTY LTDA</t>
  </si>
  <si>
    <t>54475632000130</t>
  </si>
  <si>
    <t>ANDRE FILHO SOCIEDADE INDIVIDUAL DE ADVOCACIA</t>
  </si>
  <si>
    <t>62478059000147</t>
  </si>
  <si>
    <t>BJL SERVICOS TERCEIRIZADOS LTDA</t>
  </si>
  <si>
    <t>23897070000190</t>
  </si>
  <si>
    <t>SOLUCOES HOME HEALTH LTDA</t>
  </si>
  <si>
    <t>21550795000181</t>
  </si>
  <si>
    <t>J S VIEIRA LTDA</t>
  </si>
  <si>
    <t>20867904000126</t>
  </si>
  <si>
    <t>ADRIANA P MENDES SERVICOS ADMINISTRATIVOS LTDA</t>
  </si>
  <si>
    <t>15525468000177</t>
  </si>
  <si>
    <t>ENXOVAL LUIZA DE MURIAE LTDA</t>
  </si>
  <si>
    <t>48130437000176</t>
  </si>
  <si>
    <t>MAROTO ASSESSORIA E CONSULTORIA LTDA</t>
  </si>
  <si>
    <t>60861104000112</t>
  </si>
  <si>
    <t>COMERCIAL PIETRA LTDA</t>
  </si>
  <si>
    <t>31560160000119</t>
  </si>
  <si>
    <t>ANA CRISTINA MENDES DA SILVA GAS LTDA</t>
  </si>
  <si>
    <t>11700065000166</t>
  </si>
  <si>
    <t>NEVES MANHA LTDA</t>
  </si>
  <si>
    <t>61006749000130</t>
  </si>
  <si>
    <t>PRESIDENTE CENTER COMERCIO VAREJISTA DE EQUIPAMENTOS ELETRONICOS LTDA</t>
  </si>
  <si>
    <t>61901855000188</t>
  </si>
  <si>
    <t>CABRAL E SALES LTDA</t>
  </si>
  <si>
    <t>23233295000141</t>
  </si>
  <si>
    <t>CRT REGULADORA DE SINISTRO LTDA</t>
  </si>
  <si>
    <t>62655677000115</t>
  </si>
  <si>
    <t>MILKYSHAKE NH LTDA</t>
  </si>
  <si>
    <t>52747023000168</t>
  </si>
  <si>
    <t>LINOS BIG VARIADES COMERCIO ATACADISTA DE PRODUTOS ELETRONICOS LTDA</t>
  </si>
  <si>
    <t>63072455000132</t>
  </si>
  <si>
    <t>RELUX COMERCIO DE VEICULOS NOVOS E USADOS LTDA</t>
  </si>
  <si>
    <t>24781252000163</t>
  </si>
  <si>
    <t>KABANAS GRILL CHURRASCARIA LTDA</t>
  </si>
  <si>
    <t>61880147000108</t>
  </si>
  <si>
    <t>MAIS AZUL RASTREAMENTO LTDA</t>
  </si>
  <si>
    <t>63165801000127</t>
  </si>
  <si>
    <t>TR TAVARES LTDA</t>
  </si>
  <si>
    <t>63138313000120</t>
  </si>
  <si>
    <t>GACA INDUSTRIA E COMERCIO DE COSMETICOS AROMAS E CONSULTORIA LTDA</t>
  </si>
  <si>
    <t>41732152000166</t>
  </si>
  <si>
    <t>KS TRANSPORTES BRASIL LTDA</t>
  </si>
  <si>
    <t>52280631000105</t>
  </si>
  <si>
    <t>LANCHONETE HENDRIKSON MIGUEL CAMARGO LTDA</t>
  </si>
  <si>
    <t>54167962000169</t>
  </si>
  <si>
    <t>MARCOS VIEIRA SOCIEDADE INDIVIDUAL DE ADVOCACIA</t>
  </si>
  <si>
    <t>26673882000140</t>
  </si>
  <si>
    <t>RODCEL COMERCIAL LTDA</t>
  </si>
  <si>
    <t>31338906000144</t>
  </si>
  <si>
    <t>BARRIL COMERCIO E DEPOSITO DE BEBIDAS LTDA</t>
  </si>
  <si>
    <t>61238537000189</t>
  </si>
  <si>
    <t>GUILHERME AUGUSTO BOECK</t>
  </si>
  <si>
    <t>55410528000120</t>
  </si>
  <si>
    <t>MINAS QUEIJOS COMERCIO DISTRIBUICAO E SERVICOS LTDA</t>
  </si>
  <si>
    <t>63264467000169</t>
  </si>
  <si>
    <t>RBS CONSTRUTORA LTDA</t>
  </si>
  <si>
    <t>58443816000170</t>
  </si>
  <si>
    <t>VANDINHO GAS LTDA</t>
  </si>
  <si>
    <t>59759106000116</t>
  </si>
  <si>
    <t>JT PECAS LTDA</t>
  </si>
  <si>
    <t>59140364000110</t>
  </si>
  <si>
    <t>ETNA SERVICOS EM METAL LTDA</t>
  </si>
  <si>
    <t>61569841000109</t>
  </si>
  <si>
    <t>ALUCCA LOCACAO DE MOTOS E VEICULOS LTDA</t>
  </si>
  <si>
    <t>44667403000164</t>
  </si>
  <si>
    <t>EKON TEXTIL LTDA</t>
  </si>
  <si>
    <t>15386420000125</t>
  </si>
  <si>
    <t>MADEIREIRA HORACIO LTDA</t>
  </si>
  <si>
    <t>37687003000155</t>
  </si>
  <si>
    <t>ALLISSON NOBRE LTDA</t>
  </si>
  <si>
    <t>30954982000111</t>
  </si>
  <si>
    <t>DL PAINEL ELETRICO LTDA</t>
  </si>
  <si>
    <t>51533789000187</t>
  </si>
  <si>
    <t>COXEV CARAMALACK LTDA</t>
  </si>
  <si>
    <t>09022101000138</t>
  </si>
  <si>
    <t>RODRIGO PIRES MOTOS LTDA</t>
  </si>
  <si>
    <t>63141831000101</t>
  </si>
  <si>
    <t>NAUTICONTROL AUTOMACAO INTELIGENTE LTDA</t>
  </si>
  <si>
    <t>46746521000193</t>
  </si>
  <si>
    <t>MOURA NETTO SOCIEDADE INDIVIDUAL DE ADVOCACIA</t>
  </si>
  <si>
    <t>26367069000141</t>
  </si>
  <si>
    <t>J SOM LTDA</t>
  </si>
  <si>
    <t>18017028000105</t>
  </si>
  <si>
    <t>HH EMPREENDIMENTOS E SERVICOS LTDA</t>
  </si>
  <si>
    <t>60967673000147</t>
  </si>
  <si>
    <t>FRANCO HUGO RODRIGUES MODOLO</t>
  </si>
  <si>
    <t>30976277000115</t>
  </si>
  <si>
    <t>CLINICA DE PODOLOGIA GIKA MASSANEIRO LTDA</t>
  </si>
  <si>
    <t>29371205000165</t>
  </si>
  <si>
    <t>OVOS COSTEIRA COMERCIO DE GENEROS ALIMENTICIOS LTDA</t>
  </si>
  <si>
    <t>63155997000179</t>
  </si>
  <si>
    <t>GS ENGENHARIA DE LAUDOS E AVALIACOES LTDA</t>
  </si>
  <si>
    <t>09408084000171</t>
  </si>
  <si>
    <t>AUTO PECAS E MECANICA JC LTDA</t>
  </si>
  <si>
    <t>60294167000134</t>
  </si>
  <si>
    <t>MOVIMENTUS FITNESS LTDA</t>
  </si>
  <si>
    <t>11838671000142</t>
  </si>
  <si>
    <t>GIGANET SERVICOS DE TELECOMUNICACOES LTDA</t>
  </si>
  <si>
    <t>54881096000173</t>
  </si>
  <si>
    <t>ALFA REPRESENTACOES COMERCIAIS LTDA</t>
  </si>
  <si>
    <t>58909511000100</t>
  </si>
  <si>
    <t>SIRLEI MOTA DA SILVA SANTOS</t>
  </si>
  <si>
    <t>44850282000191</t>
  </si>
  <si>
    <t>NATASHA WONDERFULL DA SILVA</t>
  </si>
  <si>
    <t>25099048000120</t>
  </si>
  <si>
    <t>VALDEMAR DIVINO DE FIGUEREDO</t>
  </si>
  <si>
    <t>54982983000138</t>
  </si>
  <si>
    <t>NICOLAS DAVID ROCHA SILVA</t>
  </si>
  <si>
    <t>47263002000137</t>
  </si>
  <si>
    <t>UILMA DA SILVA FERREIRA</t>
  </si>
  <si>
    <t>Jhonatan Vinicius de Paula Alonso</t>
  </si>
  <si>
    <t>Giovana Vitoria da Silva</t>
  </si>
  <si>
    <t>Andrey de Souza Batista Bizao</t>
  </si>
  <si>
    <t>CRISTIANE DOS SANTOS ANDRADE</t>
  </si>
  <si>
    <t>Douglas Ricardo Rodrigues Modesto Pimentel</t>
  </si>
  <si>
    <t>Felipe Arantes Martelo</t>
  </si>
  <si>
    <t xml:space="preserve">EL CENTER </t>
  </si>
  <si>
    <t>Raul Andrade Gonzaga</t>
  </si>
  <si>
    <t>62232859000183</t>
  </si>
  <si>
    <t>HELLEBRANDT SOCIEDADE INDIVIDUAL DE ADVOCACIA</t>
  </si>
  <si>
    <t>61735377000183</t>
  </si>
  <si>
    <t>CASA BENDITA MULTINEGOCIOS LTDA</t>
  </si>
  <si>
    <t>61972850000146</t>
  </si>
  <si>
    <t>PEREIRA E BRAGA ESTUDIO DE FISIOTERAPIA MAIS LTDA</t>
  </si>
  <si>
    <t>58036681000128</t>
  </si>
  <si>
    <t>SEVENTY PRODUTOS E SERVICOS LTDA</t>
  </si>
  <si>
    <t>59996094000143</t>
  </si>
  <si>
    <t>IMG ENDOSCOPE MANUTENCAO E COMERCIO DE EQUIPAMENTOS HOSPITALARES LTDA</t>
  </si>
  <si>
    <t>61335954000140</t>
  </si>
  <si>
    <t>PDAL VRE COMERCIO DE BICICLETAS LTDA</t>
  </si>
  <si>
    <t>62189236000175</t>
  </si>
  <si>
    <t>ROSIVALDO DA COSTA LEITE</t>
  </si>
  <si>
    <t>62350332000153</t>
  </si>
  <si>
    <t>ESTRELA DE DAVI COMERCIO DE MATERIAIS PARA CONSTRUCAO ELETRICA E HIDRAULICA LTDA</t>
  </si>
  <si>
    <t>61721844000116</t>
  </si>
  <si>
    <t>GREENHALGH REPRESENTACOES COMERCIAIS LTDA</t>
  </si>
  <si>
    <t>62402066000165</t>
  </si>
  <si>
    <t>MONTENEGRO MULTIMARCAS LTDA</t>
  </si>
  <si>
    <t>51988878000118</t>
  </si>
  <si>
    <t>DISTRIBUIDORA CALACA LTDA</t>
  </si>
  <si>
    <t>62357617000116</t>
  </si>
  <si>
    <t>LIMAO TELECOM LTDA</t>
  </si>
  <si>
    <t>62368884000199</t>
  </si>
  <si>
    <t>GABRIEL RANGEL DESENVOLVIMENTO DE SOFTWARE LTDA</t>
  </si>
  <si>
    <t>52503696000172</t>
  </si>
  <si>
    <t>NEU TRANSPORTES LTDA</t>
  </si>
  <si>
    <t>40941112000161</t>
  </si>
  <si>
    <t>ALESSANDRA MARA DE OLIVEIRA BORGES LTDA</t>
  </si>
  <si>
    <t>62387358000176</t>
  </si>
  <si>
    <t>MARIANA JUNG SOCIEDADE INDIVIDUAL DE ADVOCACIA</t>
  </si>
  <si>
    <t>60826616000148</t>
  </si>
  <si>
    <t>G S DA COSTA SOARES PSICOLOGIA</t>
  </si>
  <si>
    <t>62092182000125</t>
  </si>
  <si>
    <t>T S M COMERCIO VAREJISTA DE ARTIGOS DO VESTUARIO E ACESSORIOS LTDA</t>
  </si>
  <si>
    <t>20400540000170</t>
  </si>
  <si>
    <t>FONTES E MARTORI PERICIAS LTDA</t>
  </si>
  <si>
    <t>62116031000160</t>
  </si>
  <si>
    <t>DEKIN MIX COMERCIO E VAREJO LTDA</t>
  </si>
  <si>
    <t>62161076000156</t>
  </si>
  <si>
    <t>JMMLJJ SOLUCOES INTELIGENTES LTDA</t>
  </si>
  <si>
    <t>50388720000144</t>
  </si>
  <si>
    <t>RICH ADMINISTRADORA DE IMOVEIS LTDA</t>
  </si>
  <si>
    <t>37781774000107</t>
  </si>
  <si>
    <t>SANTUCCI LIMPEZA LTDA</t>
  </si>
  <si>
    <t>60451113000135</t>
  </si>
  <si>
    <t>GEOMAR JUNIOR PEREIRA PEIXOTO LTDA</t>
  </si>
  <si>
    <t>59631569000106</t>
  </si>
  <si>
    <t>ISABELLA F P RIGHES PIAZZA ENGENHARIA E CONSTRUCAO LTDA</t>
  </si>
  <si>
    <t>61962201000164</t>
  </si>
  <si>
    <t>MNRO FINANCEIRA REIS LTDA</t>
  </si>
  <si>
    <t>62091288000104</t>
  </si>
  <si>
    <t>ESCRITORIO CONTABIL R S LTDA</t>
  </si>
  <si>
    <t>08113628000105</t>
  </si>
  <si>
    <t>NEIVA E NEIVA ARQUITETURA E ENGENHARIA LTDA</t>
  </si>
  <si>
    <t>23430142000194</t>
  </si>
  <si>
    <t>MADAME CHIQUE CONFECCAO E COMERCIO DE ROUPAS LTDA</t>
  </si>
  <si>
    <t>24596536000180</t>
  </si>
  <si>
    <t>DESTAK CONSULTORIA DE PROJETOS SOCIAIS E CAPTACAO DE RECURSOS LTDA</t>
  </si>
  <si>
    <t>16866307000100</t>
  </si>
  <si>
    <t>INSERT FINALIZACOES LDTA</t>
  </si>
  <si>
    <t>33786363000153</t>
  </si>
  <si>
    <t>NEW COURIER SERVICE LTDA</t>
  </si>
  <si>
    <t>59724501000163</t>
  </si>
  <si>
    <t>LEO ESTRUTURAS LTDA</t>
  </si>
  <si>
    <t>54198096000173</t>
  </si>
  <si>
    <t>T L BRANDAO LTDA</t>
  </si>
  <si>
    <t>58518850000166</t>
  </si>
  <si>
    <t>PLENA EDIFICACOES LTDA</t>
  </si>
  <si>
    <t>57878212000193</t>
  </si>
  <si>
    <t>DROGARIA SAO MARCOS LTDA</t>
  </si>
  <si>
    <t>52243335000134</t>
  </si>
  <si>
    <t>L G DOS SANTOS CONSTRUCOES</t>
  </si>
  <si>
    <t>62079897000148</t>
  </si>
  <si>
    <t>SOL PORTAS AUTOMATICAS LTDA</t>
  </si>
  <si>
    <t>10871305000122</t>
  </si>
  <si>
    <t>CAPHY CONSULTORIA EM FISICA LTDA</t>
  </si>
  <si>
    <t>34260739000154</t>
  </si>
  <si>
    <t>LENYSNELSON NICACIO DE VASCONCELOS</t>
  </si>
  <si>
    <t>18138802000128</t>
  </si>
  <si>
    <t>MUETATA LOCADORA DE VEICULOS E TRANSPORTE ESCOLAR LTDA</t>
  </si>
  <si>
    <t>60887649000106</t>
  </si>
  <si>
    <t>RODRIGUES RECUPERACAO E RETIFICA DE CABECOTES LTDA</t>
  </si>
  <si>
    <t>42383867000113</t>
  </si>
  <si>
    <t>BRUNO SOUZA DE OLIVEIRA</t>
  </si>
  <si>
    <t>29956861000120</t>
  </si>
  <si>
    <t>ELEGANCE ODONTOLOGIA ESPECIALIZADA LTDA</t>
  </si>
  <si>
    <t>28374750000142</t>
  </si>
  <si>
    <t>LIGEIRINHO LANCHES DELIVERY LTDA</t>
  </si>
  <si>
    <t>33093163000115</t>
  </si>
  <si>
    <t>E R ESCOLA DE EDUCACAO INFANTIL E ENSINO FUNDAMENTAL LTDA</t>
  </si>
  <si>
    <t>62112377000190</t>
  </si>
  <si>
    <t>RENATO SOARES SILVA SOCIEDADE INDIVIDUAL DE ADVOCACIA</t>
  </si>
  <si>
    <t>51104825000197</t>
  </si>
  <si>
    <t>LN SOLUCOES EM ENGENHARIA LTDA</t>
  </si>
  <si>
    <t>45585803000193</t>
  </si>
  <si>
    <t>RENATO VIEIRA BASTIAN</t>
  </si>
  <si>
    <t>55244450000111</t>
  </si>
  <si>
    <t>GP AUTO CENTER NIQ LTDA</t>
  </si>
  <si>
    <t>62338762000150</t>
  </si>
  <si>
    <t>FERNANDO ALVES DE MENEZES LTDA</t>
  </si>
  <si>
    <t>62185411000156</t>
  </si>
  <si>
    <t>MARIA ELAINE DE SOUSA SANTOS RODRIGUES</t>
  </si>
  <si>
    <t>57625898000100</t>
  </si>
  <si>
    <t>PUGEDO CONSTRCOES LTDA</t>
  </si>
  <si>
    <t>57997739000137</t>
  </si>
  <si>
    <t>ADEGA LANCHONETE DO LAGOA LTDA</t>
  </si>
  <si>
    <t>45846244000128</t>
  </si>
  <si>
    <t>CLINICA PSICOLOGICA CARVALHO LTDA</t>
  </si>
  <si>
    <t>47751711000161</t>
  </si>
  <si>
    <t>W O PINTURAS LTDA</t>
  </si>
  <si>
    <t>38024130000137</t>
  </si>
  <si>
    <t>REPASSE CARROS CUIABA COMERCIO DE AUTOMOVEIS LTDA</t>
  </si>
  <si>
    <t>51136499000108</t>
  </si>
  <si>
    <t>ALTAS COISAS IMPORTACAO E EXPORTACAO LTDA</t>
  </si>
  <si>
    <t>62068067000115</t>
  </si>
  <si>
    <t>F M BRITO SOCIEDADE INDIVIDUAL DE ADVOCACIA</t>
  </si>
  <si>
    <t>39819678000136</t>
  </si>
  <si>
    <t>PINEDAS BURGUER HOUSE LTDA</t>
  </si>
  <si>
    <t>43924910000173</t>
  </si>
  <si>
    <t>RM NEGOCIOS DIGITAIS LTDA</t>
  </si>
  <si>
    <t>62235860000161</t>
  </si>
  <si>
    <t>BEATRIZ DE MATOS STACKOVSKI LTDA</t>
  </si>
  <si>
    <t>43318244000120</t>
  </si>
  <si>
    <t>UTIL LAR COMERCIAL LTDA</t>
  </si>
  <si>
    <t>62651267000104</t>
  </si>
  <si>
    <t>PUPULIN CONSULTORIA EM TI LTDA</t>
  </si>
  <si>
    <t>62243354000114</t>
  </si>
  <si>
    <t>FABIO ESCOBAR SOCIEDADE INDIVIDUAL DE ADVOCACIA</t>
  </si>
  <si>
    <t>42894864000144</t>
  </si>
  <si>
    <t>CENTRAL DOS COLCHOES IPITA LTDA</t>
  </si>
  <si>
    <t>58776119000130</t>
  </si>
  <si>
    <t>CAMARGO REPRESENTACAO LTDA</t>
  </si>
  <si>
    <t>22471200000165</t>
  </si>
  <si>
    <t>DURAES REVESTIMENTOS LTDA</t>
  </si>
  <si>
    <t>61004257000106</t>
  </si>
  <si>
    <t>BLUI STUDIOS LTDA</t>
  </si>
  <si>
    <t>58337628000167</t>
  </si>
  <si>
    <t>TRANSPORTADORA PAIS E FILHOS MARTINS LTDA</t>
  </si>
  <si>
    <t>62079018000188</t>
  </si>
  <si>
    <t>K M CHAVES SERVICOS</t>
  </si>
  <si>
    <t>62353627000183</t>
  </si>
  <si>
    <t>MARCILIO DANTAS LIMA JUNIOR SOCIEDADE INDIVIDUAL DE ADVOCACIA</t>
  </si>
  <si>
    <t>32305232000144</t>
  </si>
  <si>
    <t>FELIPE FILMES PRODUTORA AUDIOVISUAL LTDA</t>
  </si>
  <si>
    <t>61788438000170</t>
  </si>
  <si>
    <t>M DA GRACA BORBA PINTO LTDA</t>
  </si>
  <si>
    <t>41554351000121</t>
  </si>
  <si>
    <t>JUNIOR TEIXEIRA IMOVEIS LTDA</t>
  </si>
  <si>
    <t>61604440000142</t>
  </si>
  <si>
    <t>BSG FERTILIZANTES COMERCIO E SERVICOS ESPECIALIZADOS LTDA</t>
  </si>
  <si>
    <t>54742198000108</t>
  </si>
  <si>
    <t>PRISCILA ALVES SILVERIO COUTO LTDA</t>
  </si>
  <si>
    <t>19664627000175</t>
  </si>
  <si>
    <t>RICARDO BEZERRA DE GOES LTDA</t>
  </si>
  <si>
    <t>35953098000186</t>
  </si>
  <si>
    <t>M MOVELARIA LTDA</t>
  </si>
  <si>
    <t>54866472000150</t>
  </si>
  <si>
    <t>SORVETERIA SUNDAE LTDA</t>
  </si>
  <si>
    <t>62070946000181</t>
  </si>
  <si>
    <t>PONZENATO TRANSFORMACOES DIGITAIS CONSULTORIA LTDA</t>
  </si>
  <si>
    <t>61897392000128</t>
  </si>
  <si>
    <t>MURIELLE AMARAL SOCIEDADE INDIVIDUAL DE ADVOCACIA</t>
  </si>
  <si>
    <t>45277160000110</t>
  </si>
  <si>
    <t>POLYANE INES MARQUES LTDA</t>
  </si>
  <si>
    <t>62607409000128</t>
  </si>
  <si>
    <t>MAYLA COMERCIO DE ROUPAS E ACESSORIOS LTDA</t>
  </si>
  <si>
    <t>61369043000133</t>
  </si>
  <si>
    <t>TRANSPORTADORA ADONAI DO BRASIL LTDA</t>
  </si>
  <si>
    <t>61705564000114</t>
  </si>
  <si>
    <t>ALISON FERNANDO DE PAULA BRUSCHI</t>
  </si>
  <si>
    <t>62240397000146</t>
  </si>
  <si>
    <t>ADRIANO DIAS ALVARENGA</t>
  </si>
  <si>
    <t>10611250000111</t>
  </si>
  <si>
    <t>E SILVA OLIVEIRA COMERCIO E SERVICOS LTDA</t>
  </si>
  <si>
    <t>61930323000179</t>
  </si>
  <si>
    <t>TECNOLOGIA E INFORMATICA MARTINS OLIVEIRA LTDA</t>
  </si>
  <si>
    <t>61628712000144</t>
  </si>
  <si>
    <t>LUBE COMERCIO DE ALIMENTOS LTDA</t>
  </si>
  <si>
    <t>62251102000137</t>
  </si>
  <si>
    <t>TREND APOIO CORPORATIVO LTDA</t>
  </si>
  <si>
    <t>50433491000132</t>
  </si>
  <si>
    <t>EDMILA MARQUES PEDRO LTDA</t>
  </si>
  <si>
    <t>59636898000131</t>
  </si>
  <si>
    <t>SIMONE EGIDIO BERGAMO SOCIEDADE INDIVIDUAL DE ADVOCACIA</t>
  </si>
  <si>
    <t>CASH IN: 0 | DOMICILIO: 0 | SALDO MEDIO: 1 | SPENDING: 1 | CONTA GLOBAL: 0</t>
  </si>
  <si>
    <t>CASH IN: 0 | DOMICILIO: 1 | SALDO MEDIO: 1 | SPENDING: 0 | CONTA GLOBAL: 0</t>
  </si>
  <si>
    <t>CASH IN: 1 | DOMICILIO: 0 | SALDO MEDIO: 0 | SPENDING: 3 | CONTA GLOBAL: 0</t>
  </si>
  <si>
    <t>CASH IN: 1 | DOMICILIO: 0 | SALDO MEDIO: 2 | SPENDING: 1 | CONTA GLOBAL: 0</t>
  </si>
  <si>
    <t>CASH IN: 1 | DOMICILIO: 0 | SALDO MEDIO: 4 | SPENDING: 1 | CONTA GLOBAL: 0</t>
  </si>
  <si>
    <t>CASH IN: 1 | DOMICILIO: 2 | SALDO MEDIO: 3 | SPENDING: 0 | CONTA GLOBAL: 0</t>
  </si>
  <si>
    <t>CASH IN: 2 | DOMICILIO: 0 | SALDO MEDIO: 0 | SPENDING: 0 | CONTA GLOBAL: 2</t>
  </si>
  <si>
    <t>CASH IN: 2 | DOMICILIO: 0 | SALDO MEDIO: 4 | SPENDING: 2 | CONTA GLOBAL: 0</t>
  </si>
  <si>
    <t>CASH IN: 2 | DOMICILIO: 1 | SALDO MEDIO: 1 | SPENDING: 0 | CONTA GLOBAL: 0</t>
  </si>
  <si>
    <t>CASH IN: 2 | DOMICILIO: 1 | SALDO MEDIO: 2 | SPENDING: 0 | CONTA GLOBAL: 0</t>
  </si>
  <si>
    <t>CASH IN: 2 | DOMICILIO: 3 | SALDO MEDIO: 0 | SPENDING: 0 | CONTA GLOBAL: 0</t>
  </si>
  <si>
    <t>CASH IN: 2 | DOMICILIO: 3 | SALDO MEDIO: 2 | SPENDING: 0 | CONTA GLOBAL: 0</t>
  </si>
  <si>
    <t>CASH IN: 2 | DOMICILIO: 4 | SALDO MEDIO: 0 | SPENDING: 0 | CONTA GLOBAL: 0</t>
  </si>
  <si>
    <t>CASH IN: 3 | DOMICILIO: 0 | SALDO MEDIO: 1 | SPENDING: 2 | CONTA GLOBAL: 0</t>
  </si>
  <si>
    <t>CASH IN: 3 | DOMICILIO: 0 | SALDO MEDIO: 3 | SPENDING: 2 | CONTA GLOBAL: 0</t>
  </si>
  <si>
    <t>CASH IN: 3 | DOMICILIO: 0 | SALDO MEDIO: 4 | SPENDING: 1 | CONTA GLOBAL: 0</t>
  </si>
  <si>
    <t>CASH IN: 3 | DOMICILIO: 1 | SALDO MEDIO: 0 | SPENDING: 1 | CONTA GLOBAL: 0</t>
  </si>
  <si>
    <t>CASH IN: 3 | DOMICILIO: 1 | SALDO MEDIO: 2 | SPENDING: 0 | CONTA GLOBAL: 0</t>
  </si>
  <si>
    <t>CASH IN: 3 | DOMICILIO: 1 | SALDO MEDIO: 3 | SPENDING: 0 | CONTA GLOBAL: 0</t>
  </si>
  <si>
    <t>CASH IN: 3 | DOMICILIO: 2 | SALDO MEDIO: 4 | SPENDING: 0 | CONTA GLOBAL: 0</t>
  </si>
  <si>
    <t>CASH IN: 3 | DOMICILIO: 3 | SALDO MEDIO: 2 | SPENDING: 0 | CONTA GLOBAL: 0</t>
  </si>
  <si>
    <t>CASH IN: 3 | DOMICILIO: 3 | SALDO MEDIO: 2 | SPENDING: 3 | CONTA GLOBAL: 0</t>
  </si>
  <si>
    <t>CASH IN: 3 | DOMICILIO: 4 | SALDO MEDIO: 1 | SPENDING: 0 | CONTA GLOBAL: 0</t>
  </si>
  <si>
    <t>CASH IN: 3 | DOMICILIO: 4 | SALDO MEDIO: 2 | SPENDING: 0 | CONTA GLOBAL: 0</t>
  </si>
  <si>
    <t>CASH IN: 3 | DOMICILIO: 4 | SALDO MEDIO: 3 | SPENDING: 1 | CONTA GLOBAL: 0</t>
  </si>
  <si>
    <t>CASH IN: 3 | DOMICILIO: 4 | SALDO MEDIO: 4 | SPENDING: 4 | CONTA GLOBAL: 0</t>
  </si>
  <si>
    <t>CASH IN: 4 | DOMICILIO: 0 | SALDO MEDIO: 0 | SPENDING: 4 | CONTA GLOBAL: 0</t>
  </si>
  <si>
    <t>CASH IN: 4 | DOMICILIO: 0 | SALDO MEDIO: 2 | SPENDING: 4 | CONTA GLOBAL: 0</t>
  </si>
  <si>
    <t>CASH IN: 4 | DOMICILIO: 0 | SALDO MEDIO: 3 | SPENDING: 3 | CONTA GLOBAL: 0</t>
  </si>
  <si>
    <t>CASH IN: 4 | DOMICILIO: 0 | SALDO MEDIO: 4 | SPENDING: 4 | CONTA GLOBAL: 0</t>
  </si>
  <si>
    <t>CASH IN: 4 | DOMICILIO: 1 | SALDO MEDIO: 2 | SPENDING: 0 | CONTA GLOBAL: 0</t>
  </si>
  <si>
    <t>CASH IN: 4 | DOMICILIO: 1 | SALDO MEDIO: 4 | SPENDING: 4 | CONTA GLOBAL: 0</t>
  </si>
  <si>
    <t>CASH IN: 4 | DOMICILIO: 3 | SALDO MEDIO: 0 | SPENDING: 0 | CONTA GLOBAL: 0</t>
  </si>
  <si>
    <t>CASH IN: 4 | DOMICILIO: 3 | SALDO MEDIO: 2 | SPENDING: 0 | CONTA GLOBAL: 0</t>
  </si>
  <si>
    <t>CASH IN: 4 | DOMICILIO: 4 | SALDO MEDIO: 2 | SPENDING: 0 | CONTA GLOBAL: 0</t>
  </si>
  <si>
    <t>CASH IN: 4 | DOMICILIO: 4 | SALDO MEDIO: 4 | SPENDING: 1 | CONTA GLOBAL: 0</t>
  </si>
  <si>
    <t>ORGÂNICA</t>
  </si>
  <si>
    <t>Joao Pedro Mayer Ribeiro Oliveira</t>
  </si>
  <si>
    <t>Aghata Alves dos Santos</t>
  </si>
  <si>
    <t>Hellen Geovana Silva</t>
  </si>
  <si>
    <t>QUALIFICADA</t>
  </si>
  <si>
    <t>QUALIFICAÇÃO</t>
  </si>
  <si>
    <t>OBS</t>
  </si>
  <si>
    <t>VL_BOLCOB_LIQ_MTD</t>
  </si>
  <si>
    <t>DT_PRIM_LIQ_BOLCOB</t>
  </si>
  <si>
    <t>BOLETO_VÁLIDO</t>
  </si>
  <si>
    <t>VÁLIDO</t>
  </si>
  <si>
    <t>Comiss_Boleto</t>
  </si>
  <si>
    <t>Boleto_Liq</t>
  </si>
  <si>
    <t>Sim</t>
  </si>
  <si>
    <t>3° LUGAR</t>
  </si>
  <si>
    <t>4ºLUGAR</t>
  </si>
  <si>
    <t>EMPATE 1° E 2°; DIVISÃO DA SOMA DOS VALORES DE PRIMEIRO (R$1000) E SEGUNDO LUGAR (R$900).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</si>
</sst>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4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14" fontId="2" fillId="0" borderId="0" xfId="0" applyNumberFormat="1" applyFont="1"/>
    <xf numFmtId="14" fontId="1" fillId="2" borderId="0" xfId="0" applyNumberFormat="1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9" fontId="1" fillId="0" borderId="0" xfId="1" applyFont="1" applyAlignment="1">
      <alignment horizontal="center"/>
    </xf>
    <xf numFmtId="0" fontId="3" fillId="0" borderId="0" xfId="0" applyFont="1"/>
    <xf numFmtId="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4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/>
    </xf>
    <xf numFmtId="9" fontId="1" fillId="0" borderId="0" xfId="1" applyFont="1" applyBorder="1" applyAlignment="1">
      <alignment horizontal="center"/>
    </xf>
    <xf numFmtId="9" fontId="3" fillId="0" borderId="0" xfId="1" applyFont="1" applyBorder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2" borderId="0" xfId="0" applyNumberFormat="1" applyFont="1" applyFill="1" applyAlignment="1">
      <alignment horizontal="left"/>
    </xf>
    <xf numFmtId="164" fontId="3" fillId="0" borderId="0" xfId="0" applyNumberFormat="1" applyFont="1"/>
    <xf numFmtId="0" fontId="5" fillId="0" borderId="0" xfId="0" applyFont="1"/>
    <xf numFmtId="14" fontId="5" fillId="0" borderId="0" xfId="0" applyNumberFormat="1" applyFont="1"/>
    <xf numFmtId="0" fontId="3" fillId="0" borderId="0" xfId="1" applyNumberFormat="1" applyFont="1" applyBorder="1" applyAlignment="1">
      <alignment horizontal="center"/>
    </xf>
    <xf numFmtId="14" fontId="1" fillId="0" borderId="0" xfId="0" applyNumberFormat="1" applyFont="1"/>
    <xf numFmtId="0" fontId="5" fillId="3" borderId="0" xfId="0" applyFont="1" applyFill="1"/>
    <xf numFmtId="0" fontId="1" fillId="3" borderId="0" xfId="0" applyFont="1" applyFill="1" applyAlignment="1">
      <alignment horizontal="center"/>
    </xf>
    <xf numFmtId="9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1" fontId="1" fillId="0" borderId="0" xfId="0" applyNumberFormat="1" applyFont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ANDREY\Relat&#243;rios\C6%20Empresas\02.%20Operacional\01.%20Anal&#237;tico%20Operacional\2025\10_Outubro\10.2025_Analitico%20Operacional.xlsx" TargetMode="External"/><Relationship Id="rId1" Type="http://schemas.openxmlformats.org/officeDocument/2006/relationships/externalLinkPath" Target="/ANDREY/Relat&#243;rios/C6%20Empresas/02.%20Operacional/01.%20Anal&#237;tico%20Operacional/2025/10_Outubro/10.2025_Analitico%20Operacio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_CC"/>
      <sheetName val="BD_QUALIF"/>
      <sheetName val="BD_C6PAY"/>
      <sheetName val="Controle Diário Produção"/>
      <sheetName val="Antigo_Controle Diario Produção"/>
    </sheetNames>
    <sheetDataSet>
      <sheetData sheetId="0"/>
      <sheetData sheetId="1"/>
      <sheetData sheetId="2"/>
      <sheetData sheetId="3">
        <row r="12">
          <cell r="B12" t="str">
            <v>Miriam Helena Franzoi</v>
          </cell>
          <cell r="D12">
            <v>69</v>
          </cell>
          <cell r="E12">
            <v>0.98571428571428577</v>
          </cell>
          <cell r="F12">
            <v>70</v>
          </cell>
        </row>
        <row r="13">
          <cell r="B13" t="str">
            <v>Vinicius Araujo Silva</v>
          </cell>
          <cell r="D13">
            <v>93</v>
          </cell>
          <cell r="E13">
            <v>1.3285714285714285</v>
          </cell>
          <cell r="F13">
            <v>70</v>
          </cell>
        </row>
        <row r="14">
          <cell r="B14" t="str">
            <v>Giovana Vitoria da Silva</v>
          </cell>
          <cell r="D14">
            <v>119</v>
          </cell>
          <cell r="E14">
            <v>1.7</v>
          </cell>
          <cell r="F14">
            <v>70</v>
          </cell>
        </row>
        <row r="15">
          <cell r="B15" t="str">
            <v>Sofia Helena Vieira Domingues</v>
          </cell>
          <cell r="D15">
            <v>80</v>
          </cell>
          <cell r="E15">
            <v>1.1428571428571428</v>
          </cell>
          <cell r="F15">
            <v>70</v>
          </cell>
        </row>
        <row r="16">
          <cell r="B16" t="str">
            <v>Mariana Gabriela Ferreira Barboza</v>
          </cell>
          <cell r="D16">
            <v>87</v>
          </cell>
          <cell r="E16">
            <v>1.2428571428571429</v>
          </cell>
          <cell r="F16">
            <v>70</v>
          </cell>
        </row>
        <row r="17">
          <cell r="B17" t="str">
            <v>Bruna Eloisa Sousa Carvalho</v>
          </cell>
          <cell r="D17">
            <v>67</v>
          </cell>
          <cell r="E17">
            <v>0.95714285714285718</v>
          </cell>
          <cell r="F17">
            <v>70</v>
          </cell>
        </row>
        <row r="18">
          <cell r="B18" t="str">
            <v>Amanda Kachinski Bosco</v>
          </cell>
          <cell r="D18">
            <v>86</v>
          </cell>
          <cell r="E18">
            <v>1.2285714285714286</v>
          </cell>
          <cell r="F18">
            <v>70</v>
          </cell>
        </row>
        <row r="19">
          <cell r="B19" t="str">
            <v>Maria Luisa Ribeiro da Silva</v>
          </cell>
          <cell r="D19">
            <v>124</v>
          </cell>
          <cell r="E19">
            <v>1.7714285714285714</v>
          </cell>
          <cell r="F19">
            <v>70</v>
          </cell>
        </row>
        <row r="20">
          <cell r="B20" t="str">
            <v>Sophia Bagagi Pigente</v>
          </cell>
          <cell r="D20">
            <v>46</v>
          </cell>
          <cell r="E20">
            <v>0.76666666666666672</v>
          </cell>
          <cell r="F20">
            <v>60</v>
          </cell>
        </row>
        <row r="21">
          <cell r="B21" t="str">
            <v>Cristiane dos Santos Andrade</v>
          </cell>
          <cell r="D21">
            <v>60</v>
          </cell>
          <cell r="E21">
            <v>1</v>
          </cell>
          <cell r="F21">
            <v>60</v>
          </cell>
        </row>
        <row r="22">
          <cell r="B22" t="str">
            <v>Maria Victoria Meronho</v>
          </cell>
          <cell r="D22">
            <v>17</v>
          </cell>
          <cell r="E22">
            <v>0.28333333333333333</v>
          </cell>
          <cell r="F22">
            <v>60</v>
          </cell>
        </row>
        <row r="23">
          <cell r="B23" t="str">
            <v>Jessica Lorenzetto Leme</v>
          </cell>
          <cell r="D23">
            <v>53</v>
          </cell>
          <cell r="E23">
            <v>0.8833333333333333</v>
          </cell>
          <cell r="F23">
            <v>60</v>
          </cell>
        </row>
        <row r="24">
          <cell r="B24" t="str">
            <v>Franciane Roberta Cordeiro</v>
          </cell>
          <cell r="D24">
            <v>123</v>
          </cell>
          <cell r="E24">
            <v>1.7571428571428571</v>
          </cell>
          <cell r="F24">
            <v>70</v>
          </cell>
        </row>
        <row r="25">
          <cell r="B25" t="str">
            <v>Pablo Ricardo Camilo Lopes</v>
          </cell>
          <cell r="D25">
            <v>51</v>
          </cell>
          <cell r="E25">
            <v>1.02</v>
          </cell>
          <cell r="F25">
            <v>50</v>
          </cell>
        </row>
        <row r="26">
          <cell r="B26" t="str">
            <v>Nicolas Lopes de Moraes</v>
          </cell>
          <cell r="D26">
            <v>25</v>
          </cell>
          <cell r="E26">
            <v>0.5</v>
          </cell>
          <cell r="F26">
            <v>50</v>
          </cell>
        </row>
        <row r="27">
          <cell r="B27" t="str">
            <v>Enzo Bianchi de Marche</v>
          </cell>
          <cell r="D27">
            <v>10</v>
          </cell>
          <cell r="E27">
            <v>0.2</v>
          </cell>
          <cell r="F27">
            <v>50</v>
          </cell>
        </row>
        <row r="28">
          <cell r="B28" t="str">
            <v>Raul Andrade Gonzaga</v>
          </cell>
          <cell r="D28">
            <v>19</v>
          </cell>
          <cell r="E28">
            <v>0.95</v>
          </cell>
          <cell r="F28">
            <v>20</v>
          </cell>
        </row>
        <row r="29">
          <cell r="B29" t="str">
            <v>Jhonatan Vinicius de Paula Alonso</v>
          </cell>
          <cell r="D29">
            <v>12</v>
          </cell>
          <cell r="E29">
            <v>0.6</v>
          </cell>
          <cell r="F29">
            <v>20</v>
          </cell>
        </row>
        <row r="30">
          <cell r="B30" t="str">
            <v>Felipe Arantes Martelo</v>
          </cell>
          <cell r="D30">
            <v>12</v>
          </cell>
          <cell r="E30">
            <v>0.6</v>
          </cell>
          <cell r="F30">
            <v>20</v>
          </cell>
        </row>
        <row r="31">
          <cell r="B31" t="str">
            <v>Douglas Ricardo Rodrigues Modesto Pimentel</v>
          </cell>
          <cell r="D31">
            <v>6</v>
          </cell>
          <cell r="E31">
            <v>0.3</v>
          </cell>
          <cell r="F31">
            <v>20</v>
          </cell>
        </row>
        <row r="32">
          <cell r="B32" t="str">
            <v>Andrey de Souza Batista Bizao</v>
          </cell>
          <cell r="D32">
            <v>57</v>
          </cell>
          <cell r="E32" t="str">
            <v>-</v>
          </cell>
          <cell r="F32" t="str">
            <v>-</v>
          </cell>
        </row>
        <row r="33">
          <cell r="B33" t="str">
            <v>EL CENTER</v>
          </cell>
          <cell r="D33">
            <v>10</v>
          </cell>
          <cell r="E33" t="str">
            <v>-</v>
          </cell>
          <cell r="F33" t="str">
            <v>-</v>
          </cell>
        </row>
        <row r="34">
          <cell r="B34" t="str">
            <v>Outros</v>
          </cell>
          <cell r="D34">
            <v>28</v>
          </cell>
          <cell r="E34" t="str">
            <v>-</v>
          </cell>
          <cell r="F34" t="str">
            <v>-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9F043-B6D8-4E0B-8229-BE5D5ED87A6C}">
  <dimension ref="A1:H1259"/>
  <sheetViews>
    <sheetView workbookViewId="0">
      <selection activeCell="D24" sqref="D24"/>
    </sheetView>
  </sheetViews>
  <sheetFormatPr defaultColWidth="9.140625" defaultRowHeight="11.25" x14ac:dyDescent="0.2"/>
  <cols>
    <col min="1" max="1" width="16.7109375" style="24" bestFit="1" customWidth="1"/>
    <col min="2" max="2" width="9.140625" style="24"/>
    <col min="3" max="3" width="5.28515625" style="24" customWidth="1"/>
    <col min="4" max="5" width="10.140625" style="25" bestFit="1" customWidth="1"/>
    <col min="6" max="6" width="9.140625" style="24"/>
    <col min="7" max="7" width="27" style="24" bestFit="1" customWidth="1"/>
    <col min="8" max="16384" width="9.140625" style="24"/>
  </cols>
  <sheetData>
    <row r="1" spans="1:8" s="2" customFormat="1" x14ac:dyDescent="0.2">
      <c r="A1" s="1" t="s">
        <v>0</v>
      </c>
      <c r="B1" s="1" t="s">
        <v>1</v>
      </c>
      <c r="C1" s="1" t="s">
        <v>17</v>
      </c>
      <c r="D1" s="6" t="s">
        <v>2</v>
      </c>
      <c r="E1" s="6" t="s">
        <v>3</v>
      </c>
      <c r="F1" s="1" t="s">
        <v>4</v>
      </c>
      <c r="G1" s="1" t="s">
        <v>5</v>
      </c>
      <c r="H1" s="1" t="s">
        <v>18</v>
      </c>
    </row>
    <row r="2" spans="1:8" x14ac:dyDescent="0.2">
      <c r="A2" s="4" t="s">
        <v>1381</v>
      </c>
      <c r="B2" s="4" t="s">
        <v>1382</v>
      </c>
      <c r="C2" s="4" t="s">
        <v>61</v>
      </c>
      <c r="D2" s="5">
        <v>45941</v>
      </c>
      <c r="E2" s="5">
        <v>45945</v>
      </c>
      <c r="F2" s="4" t="s">
        <v>9</v>
      </c>
      <c r="G2" s="4" t="s">
        <v>59</v>
      </c>
      <c r="H2" s="4" t="s">
        <v>88</v>
      </c>
    </row>
    <row r="3" spans="1:8" x14ac:dyDescent="0.2">
      <c r="A3" s="2" t="s">
        <v>1383</v>
      </c>
      <c r="B3" s="2" t="s">
        <v>1384</v>
      </c>
      <c r="C3" s="2" t="s">
        <v>61</v>
      </c>
      <c r="D3" s="27">
        <v>45938</v>
      </c>
      <c r="E3" s="2"/>
      <c r="F3" s="2" t="s">
        <v>8</v>
      </c>
      <c r="G3" s="24" t="s">
        <v>97</v>
      </c>
    </row>
    <row r="4" spans="1:8" x14ac:dyDescent="0.2">
      <c r="A4" s="2" t="s">
        <v>1385</v>
      </c>
      <c r="B4" s="2" t="s">
        <v>1386</v>
      </c>
      <c r="C4" s="2" t="s">
        <v>61</v>
      </c>
      <c r="D4" s="27">
        <v>45932</v>
      </c>
      <c r="E4" s="2"/>
      <c r="F4" s="2" t="s">
        <v>8</v>
      </c>
      <c r="G4" s="24" t="s">
        <v>97</v>
      </c>
    </row>
    <row r="5" spans="1:8" x14ac:dyDescent="0.2">
      <c r="A5" s="2" t="s">
        <v>1387</v>
      </c>
      <c r="B5" s="2" t="s">
        <v>1388</v>
      </c>
      <c r="C5" s="2" t="s">
        <v>61</v>
      </c>
      <c r="D5" s="27">
        <v>45940</v>
      </c>
      <c r="E5" s="2"/>
      <c r="F5" s="2" t="s">
        <v>8</v>
      </c>
      <c r="G5" s="24" t="s">
        <v>97</v>
      </c>
    </row>
    <row r="6" spans="1:8" x14ac:dyDescent="0.2">
      <c r="A6" s="2" t="s">
        <v>1389</v>
      </c>
      <c r="B6" s="2" t="s">
        <v>1390</v>
      </c>
      <c r="C6" s="2" t="s">
        <v>61</v>
      </c>
      <c r="D6" s="27">
        <v>45961</v>
      </c>
      <c r="E6" s="2"/>
      <c r="F6" s="2" t="s">
        <v>8</v>
      </c>
      <c r="G6" s="24" t="s">
        <v>3894</v>
      </c>
    </row>
    <row r="7" spans="1:8" x14ac:dyDescent="0.2">
      <c r="A7" s="2" t="s">
        <v>1391</v>
      </c>
      <c r="B7" s="2" t="s">
        <v>1392</v>
      </c>
      <c r="C7" s="2" t="s">
        <v>61</v>
      </c>
      <c r="D7" s="27">
        <v>45954</v>
      </c>
      <c r="E7" s="2"/>
      <c r="F7" s="2" t="s">
        <v>8</v>
      </c>
      <c r="G7" s="24" t="s">
        <v>97</v>
      </c>
    </row>
    <row r="8" spans="1:8" x14ac:dyDescent="0.2">
      <c r="A8" s="2" t="s">
        <v>1393</v>
      </c>
      <c r="B8" s="2" t="s">
        <v>1394</v>
      </c>
      <c r="C8" s="2" t="s">
        <v>61</v>
      </c>
      <c r="D8" s="27">
        <v>45957</v>
      </c>
      <c r="E8" s="2"/>
      <c r="F8" s="2" t="s">
        <v>8</v>
      </c>
      <c r="G8" s="24" t="s">
        <v>3894</v>
      </c>
    </row>
    <row r="9" spans="1:8" x14ac:dyDescent="0.2">
      <c r="A9" s="2" t="s">
        <v>1395</v>
      </c>
      <c r="B9" s="2" t="s">
        <v>1396</v>
      </c>
      <c r="C9" s="2" t="s">
        <v>61</v>
      </c>
      <c r="D9" s="27">
        <v>45958</v>
      </c>
      <c r="E9" s="2"/>
      <c r="F9" s="2" t="s">
        <v>8</v>
      </c>
      <c r="G9" s="24" t="s">
        <v>97</v>
      </c>
    </row>
    <row r="10" spans="1:8" x14ac:dyDescent="0.2">
      <c r="A10" s="2" t="s">
        <v>1397</v>
      </c>
      <c r="B10" s="2" t="s">
        <v>1398</v>
      </c>
      <c r="C10" s="2" t="s">
        <v>61</v>
      </c>
      <c r="D10" s="27">
        <v>45959</v>
      </c>
      <c r="E10" s="2"/>
      <c r="F10" s="2" t="s">
        <v>8</v>
      </c>
      <c r="G10" s="24" t="s">
        <v>3894</v>
      </c>
    </row>
    <row r="11" spans="1:8" x14ac:dyDescent="0.2">
      <c r="A11" s="2" t="s">
        <v>1399</v>
      </c>
      <c r="B11" s="2" t="s">
        <v>1400</v>
      </c>
      <c r="C11" s="2" t="s">
        <v>61</v>
      </c>
      <c r="D11" s="27">
        <v>45957</v>
      </c>
      <c r="E11" s="2"/>
      <c r="F11" s="2" t="s">
        <v>8</v>
      </c>
      <c r="G11" s="24" t="s">
        <v>97</v>
      </c>
    </row>
    <row r="12" spans="1:8" x14ac:dyDescent="0.2">
      <c r="A12" s="2" t="s">
        <v>1401</v>
      </c>
      <c r="B12" s="2" t="s">
        <v>1402</v>
      </c>
      <c r="C12" s="2" t="s">
        <v>61</v>
      </c>
      <c r="D12" s="27">
        <v>45946</v>
      </c>
      <c r="E12" s="2"/>
      <c r="F12" s="2" t="s">
        <v>8</v>
      </c>
      <c r="G12" s="24" t="s">
        <v>97</v>
      </c>
    </row>
    <row r="13" spans="1:8" x14ac:dyDescent="0.2">
      <c r="A13" s="2" t="s">
        <v>1403</v>
      </c>
      <c r="B13" s="2" t="s">
        <v>1404</v>
      </c>
      <c r="C13" s="2" t="s">
        <v>61</v>
      </c>
      <c r="D13" s="27">
        <v>45952</v>
      </c>
      <c r="E13" s="2"/>
      <c r="F13" s="2" t="s">
        <v>8</v>
      </c>
      <c r="G13" s="24" t="s">
        <v>97</v>
      </c>
    </row>
    <row r="14" spans="1:8" x14ac:dyDescent="0.2">
      <c r="A14" s="2" t="s">
        <v>1405</v>
      </c>
      <c r="B14" s="2" t="s">
        <v>1406</v>
      </c>
      <c r="C14" s="2" t="s">
        <v>61</v>
      </c>
      <c r="D14" s="27">
        <v>45959</v>
      </c>
      <c r="E14" s="2"/>
      <c r="F14" s="2" t="s">
        <v>8</v>
      </c>
      <c r="G14" s="24" t="s">
        <v>97</v>
      </c>
    </row>
    <row r="15" spans="1:8" x14ac:dyDescent="0.2">
      <c r="A15" s="2" t="s">
        <v>1407</v>
      </c>
      <c r="B15" s="2" t="s">
        <v>1408</v>
      </c>
      <c r="C15" s="2" t="s">
        <v>61</v>
      </c>
      <c r="D15" s="27">
        <v>45944</v>
      </c>
      <c r="E15" s="2"/>
      <c r="F15" s="2" t="s">
        <v>8</v>
      </c>
      <c r="G15" s="24" t="s">
        <v>97</v>
      </c>
    </row>
    <row r="16" spans="1:8" x14ac:dyDescent="0.2">
      <c r="A16" s="2" t="s">
        <v>1409</v>
      </c>
      <c r="B16" s="2" t="s">
        <v>1410</v>
      </c>
      <c r="C16" s="2" t="s">
        <v>61</v>
      </c>
      <c r="D16" s="27">
        <v>45959</v>
      </c>
      <c r="E16" s="2"/>
      <c r="F16" s="2" t="s">
        <v>8</v>
      </c>
      <c r="G16" s="24" t="s">
        <v>97</v>
      </c>
    </row>
    <row r="17" spans="1:7" x14ac:dyDescent="0.2">
      <c r="A17" s="2" t="s">
        <v>1411</v>
      </c>
      <c r="B17" s="2" t="s">
        <v>1412</v>
      </c>
      <c r="C17" s="2" t="s">
        <v>61</v>
      </c>
      <c r="D17" s="27">
        <v>45951</v>
      </c>
      <c r="E17" s="2"/>
      <c r="F17" s="2" t="s">
        <v>8</v>
      </c>
      <c r="G17" s="24" t="s">
        <v>97</v>
      </c>
    </row>
    <row r="18" spans="1:7" x14ac:dyDescent="0.2">
      <c r="A18" s="2" t="s">
        <v>1413</v>
      </c>
      <c r="B18" s="2" t="s">
        <v>1414</v>
      </c>
      <c r="C18" s="2" t="s">
        <v>61</v>
      </c>
      <c r="D18" s="27">
        <v>45933</v>
      </c>
      <c r="E18" s="2"/>
      <c r="F18" s="2" t="s">
        <v>8</v>
      </c>
      <c r="G18" s="24" t="s">
        <v>97</v>
      </c>
    </row>
    <row r="19" spans="1:7" x14ac:dyDescent="0.2">
      <c r="A19" s="2" t="s">
        <v>1415</v>
      </c>
      <c r="B19" s="2" t="s">
        <v>1416</v>
      </c>
      <c r="C19" s="2" t="s">
        <v>61</v>
      </c>
      <c r="D19" s="27">
        <v>45952</v>
      </c>
      <c r="E19" s="2"/>
      <c r="F19" s="2" t="s">
        <v>8</v>
      </c>
      <c r="G19" s="24" t="s">
        <v>3894</v>
      </c>
    </row>
    <row r="20" spans="1:7" x14ac:dyDescent="0.2">
      <c r="A20" s="2" t="s">
        <v>1417</v>
      </c>
      <c r="B20" s="2" t="s">
        <v>1418</v>
      </c>
      <c r="C20" s="2" t="s">
        <v>61</v>
      </c>
      <c r="D20" s="27">
        <v>45933</v>
      </c>
      <c r="E20" s="2"/>
      <c r="F20" s="2" t="s">
        <v>8</v>
      </c>
      <c r="G20" s="24" t="s">
        <v>97</v>
      </c>
    </row>
    <row r="21" spans="1:7" x14ac:dyDescent="0.2">
      <c r="A21" s="2" t="s">
        <v>1419</v>
      </c>
      <c r="B21" s="2" t="s">
        <v>1420</v>
      </c>
      <c r="C21" s="2" t="s">
        <v>61</v>
      </c>
      <c r="D21" s="27">
        <v>45958</v>
      </c>
      <c r="E21" s="2"/>
      <c r="F21" s="2" t="s">
        <v>8</v>
      </c>
      <c r="G21" s="24" t="s">
        <v>97</v>
      </c>
    </row>
    <row r="22" spans="1:7" x14ac:dyDescent="0.2">
      <c r="A22" s="2" t="s">
        <v>1421</v>
      </c>
      <c r="B22" s="2" t="s">
        <v>1422</v>
      </c>
      <c r="C22" s="2" t="s">
        <v>61</v>
      </c>
      <c r="D22" s="27">
        <v>45945</v>
      </c>
      <c r="E22" s="2"/>
      <c r="F22" s="2" t="s">
        <v>8</v>
      </c>
      <c r="G22" s="24" t="s">
        <v>97</v>
      </c>
    </row>
    <row r="23" spans="1:7" x14ac:dyDescent="0.2">
      <c r="A23" s="2" t="s">
        <v>1423</v>
      </c>
      <c r="B23" s="2" t="s">
        <v>1424</v>
      </c>
      <c r="C23" s="2" t="s">
        <v>61</v>
      </c>
      <c r="D23" s="27">
        <v>45957</v>
      </c>
      <c r="E23" s="2"/>
      <c r="F23" s="2" t="s">
        <v>8</v>
      </c>
      <c r="G23" s="24" t="s">
        <v>97</v>
      </c>
    </row>
    <row r="24" spans="1:7" x14ac:dyDescent="0.2">
      <c r="A24" s="2" t="s">
        <v>1425</v>
      </c>
      <c r="B24" s="2" t="s">
        <v>1426</v>
      </c>
      <c r="C24" s="2" t="s">
        <v>61</v>
      </c>
      <c r="D24" s="27">
        <v>45952</v>
      </c>
      <c r="E24" s="2"/>
      <c r="F24" s="2" t="s">
        <v>8</v>
      </c>
      <c r="G24" s="24" t="s">
        <v>97</v>
      </c>
    </row>
    <row r="25" spans="1:7" x14ac:dyDescent="0.2">
      <c r="A25" s="2" t="s">
        <v>1427</v>
      </c>
      <c r="B25" s="2" t="s">
        <v>1428</v>
      </c>
      <c r="C25" s="2" t="s">
        <v>61</v>
      </c>
      <c r="D25" s="27">
        <v>45945</v>
      </c>
      <c r="E25" s="2"/>
      <c r="F25" s="2" t="s">
        <v>8</v>
      </c>
      <c r="G25" s="24" t="s">
        <v>97</v>
      </c>
    </row>
    <row r="26" spans="1:7" x14ac:dyDescent="0.2">
      <c r="A26" s="2" t="s">
        <v>1429</v>
      </c>
      <c r="B26" s="2" t="s">
        <v>1430</v>
      </c>
      <c r="C26" s="2" t="s">
        <v>61</v>
      </c>
      <c r="D26" s="27">
        <v>45957</v>
      </c>
      <c r="E26" s="2"/>
      <c r="F26" s="2" t="s">
        <v>8</v>
      </c>
      <c r="G26" s="24" t="s">
        <v>591</v>
      </c>
    </row>
    <row r="27" spans="1:7" x14ac:dyDescent="0.2">
      <c r="A27" s="2" t="s">
        <v>1431</v>
      </c>
      <c r="B27" s="2" t="s">
        <v>1432</v>
      </c>
      <c r="C27" s="2" t="s">
        <v>61</v>
      </c>
      <c r="D27" s="27">
        <v>45959</v>
      </c>
      <c r="E27" s="2"/>
      <c r="F27" s="2" t="s">
        <v>8</v>
      </c>
      <c r="G27" s="24" t="s">
        <v>97</v>
      </c>
    </row>
    <row r="28" spans="1:7" x14ac:dyDescent="0.2">
      <c r="A28" s="2" t="s">
        <v>1433</v>
      </c>
      <c r="B28" s="2" t="s">
        <v>1434</v>
      </c>
      <c r="C28" s="2" t="s">
        <v>61</v>
      </c>
      <c r="D28" s="27">
        <v>45954</v>
      </c>
      <c r="E28" s="2"/>
      <c r="F28" s="2" t="s">
        <v>8</v>
      </c>
      <c r="G28" s="24" t="s">
        <v>97</v>
      </c>
    </row>
    <row r="29" spans="1:7" x14ac:dyDescent="0.2">
      <c r="A29" s="2" t="s">
        <v>1435</v>
      </c>
      <c r="B29" s="2" t="s">
        <v>1436</v>
      </c>
      <c r="C29" s="2" t="s">
        <v>61</v>
      </c>
      <c r="D29" s="27">
        <v>45945</v>
      </c>
      <c r="E29" s="2"/>
      <c r="F29" s="2" t="s">
        <v>8</v>
      </c>
      <c r="G29" s="24" t="s">
        <v>97</v>
      </c>
    </row>
    <row r="30" spans="1:7" x14ac:dyDescent="0.2">
      <c r="A30" s="2" t="s">
        <v>1437</v>
      </c>
      <c r="B30" s="2" t="s">
        <v>1438</v>
      </c>
      <c r="C30" s="2" t="s">
        <v>61</v>
      </c>
      <c r="D30" s="27">
        <v>45960</v>
      </c>
      <c r="E30" s="2"/>
      <c r="F30" s="2" t="s">
        <v>8</v>
      </c>
      <c r="G30" s="24" t="s">
        <v>97</v>
      </c>
    </row>
    <row r="31" spans="1:7" x14ac:dyDescent="0.2">
      <c r="A31" s="2" t="s">
        <v>1439</v>
      </c>
      <c r="B31" s="2" t="s">
        <v>1440</v>
      </c>
      <c r="C31" s="2" t="s">
        <v>61</v>
      </c>
      <c r="D31" s="27">
        <v>45959</v>
      </c>
      <c r="E31" s="2"/>
      <c r="F31" s="2" t="s">
        <v>8</v>
      </c>
      <c r="G31" s="24" t="s">
        <v>97</v>
      </c>
    </row>
    <row r="32" spans="1:7" x14ac:dyDescent="0.2">
      <c r="A32" s="2" t="s">
        <v>1441</v>
      </c>
      <c r="B32" s="2" t="s">
        <v>1442</v>
      </c>
      <c r="C32" s="2" t="s">
        <v>61</v>
      </c>
      <c r="D32" s="27">
        <v>45954</v>
      </c>
      <c r="E32" s="2"/>
      <c r="F32" s="2" t="s">
        <v>8</v>
      </c>
      <c r="G32" s="24" t="s">
        <v>97</v>
      </c>
    </row>
    <row r="33" spans="1:7" x14ac:dyDescent="0.2">
      <c r="A33" s="2" t="s">
        <v>1443</v>
      </c>
      <c r="B33" s="2" t="s">
        <v>1444</v>
      </c>
      <c r="C33" s="2" t="s">
        <v>61</v>
      </c>
      <c r="D33" s="27">
        <v>45959</v>
      </c>
      <c r="E33" s="2"/>
      <c r="F33" s="2" t="s">
        <v>8</v>
      </c>
      <c r="G33" s="24" t="s">
        <v>97</v>
      </c>
    </row>
    <row r="34" spans="1:7" x14ac:dyDescent="0.2">
      <c r="A34" s="2" t="s">
        <v>1445</v>
      </c>
      <c r="B34" s="2" t="s">
        <v>1446</v>
      </c>
      <c r="C34" s="2" t="s">
        <v>61</v>
      </c>
      <c r="D34" s="27">
        <v>45959</v>
      </c>
      <c r="E34" s="2"/>
      <c r="F34" s="2" t="s">
        <v>8</v>
      </c>
      <c r="G34" s="24" t="s">
        <v>591</v>
      </c>
    </row>
    <row r="35" spans="1:7" x14ac:dyDescent="0.2">
      <c r="A35" s="2" t="s">
        <v>1447</v>
      </c>
      <c r="B35" s="2" t="s">
        <v>1448</v>
      </c>
      <c r="C35" s="2" t="s">
        <v>61</v>
      </c>
      <c r="D35" s="27">
        <v>45953</v>
      </c>
      <c r="E35" s="2"/>
      <c r="F35" s="2" t="s">
        <v>8</v>
      </c>
      <c r="G35" s="24" t="s">
        <v>3894</v>
      </c>
    </row>
    <row r="36" spans="1:7" x14ac:dyDescent="0.2">
      <c r="A36" s="2" t="s">
        <v>1449</v>
      </c>
      <c r="B36" s="2" t="s">
        <v>1450</v>
      </c>
      <c r="C36" s="2" t="s">
        <v>61</v>
      </c>
      <c r="D36" s="27">
        <v>45957</v>
      </c>
      <c r="E36" s="2"/>
      <c r="F36" s="2" t="s">
        <v>8</v>
      </c>
      <c r="G36" s="24" t="s">
        <v>97</v>
      </c>
    </row>
    <row r="37" spans="1:7" x14ac:dyDescent="0.2">
      <c r="A37" s="2" t="s">
        <v>1451</v>
      </c>
      <c r="B37" s="2" t="s">
        <v>1452</v>
      </c>
      <c r="C37" s="2" t="s">
        <v>61</v>
      </c>
      <c r="D37" s="27">
        <v>45957</v>
      </c>
      <c r="E37" s="2"/>
      <c r="F37" s="2" t="s">
        <v>8</v>
      </c>
      <c r="G37" s="24" t="s">
        <v>97</v>
      </c>
    </row>
    <row r="38" spans="1:7" x14ac:dyDescent="0.2">
      <c r="A38" s="2" t="s">
        <v>1453</v>
      </c>
      <c r="B38" s="2" t="s">
        <v>1454</v>
      </c>
      <c r="C38" s="2" t="s">
        <v>61</v>
      </c>
      <c r="D38" s="27">
        <v>45938</v>
      </c>
      <c r="E38" s="2"/>
      <c r="F38" s="2" t="s">
        <v>8</v>
      </c>
      <c r="G38" s="24" t="s">
        <v>97</v>
      </c>
    </row>
    <row r="39" spans="1:7" x14ac:dyDescent="0.2">
      <c r="A39" s="2" t="s">
        <v>1455</v>
      </c>
      <c r="B39" s="2" t="s">
        <v>1456</v>
      </c>
      <c r="C39" s="2" t="s">
        <v>61</v>
      </c>
      <c r="D39" s="27">
        <v>45961</v>
      </c>
      <c r="E39" s="2"/>
      <c r="F39" s="2" t="s">
        <v>8</v>
      </c>
      <c r="G39" s="24" t="s">
        <v>3894</v>
      </c>
    </row>
    <row r="40" spans="1:7" x14ac:dyDescent="0.2">
      <c r="A40" s="2" t="s">
        <v>1457</v>
      </c>
      <c r="B40" s="2" t="s">
        <v>1458</v>
      </c>
      <c r="C40" s="2" t="s">
        <v>61</v>
      </c>
      <c r="D40" s="27">
        <v>45947</v>
      </c>
      <c r="E40" s="2"/>
      <c r="F40" s="2" t="s">
        <v>8</v>
      </c>
      <c r="G40" s="24" t="s">
        <v>97</v>
      </c>
    </row>
    <row r="41" spans="1:7" x14ac:dyDescent="0.2">
      <c r="A41" s="2" t="s">
        <v>1459</v>
      </c>
      <c r="B41" s="2" t="s">
        <v>1460</v>
      </c>
      <c r="C41" s="2" t="s">
        <v>61</v>
      </c>
      <c r="D41" s="27">
        <v>45931</v>
      </c>
      <c r="E41" s="2"/>
      <c r="F41" s="2" t="s">
        <v>8</v>
      </c>
      <c r="G41" s="24" t="s">
        <v>97</v>
      </c>
    </row>
    <row r="42" spans="1:7" x14ac:dyDescent="0.2">
      <c r="A42" s="2" t="s">
        <v>1461</v>
      </c>
      <c r="B42" s="2" t="s">
        <v>1462</v>
      </c>
      <c r="C42" s="2" t="s">
        <v>61</v>
      </c>
      <c r="D42" s="27">
        <v>45951</v>
      </c>
      <c r="E42" s="2"/>
      <c r="F42" s="2" t="s">
        <v>8</v>
      </c>
      <c r="G42" s="24" t="s">
        <v>97</v>
      </c>
    </row>
    <row r="43" spans="1:7" x14ac:dyDescent="0.2">
      <c r="A43" s="2" t="s">
        <v>1463</v>
      </c>
      <c r="B43" s="2" t="s">
        <v>1464</v>
      </c>
      <c r="C43" s="2" t="s">
        <v>61</v>
      </c>
      <c r="D43" s="27">
        <v>45937</v>
      </c>
      <c r="E43" s="2"/>
      <c r="F43" s="2" t="s">
        <v>8</v>
      </c>
      <c r="G43" s="24" t="s">
        <v>97</v>
      </c>
    </row>
    <row r="44" spans="1:7" x14ac:dyDescent="0.2">
      <c r="A44" s="2" t="s">
        <v>1465</v>
      </c>
      <c r="B44" s="2" t="s">
        <v>1466</v>
      </c>
      <c r="C44" s="2" t="s">
        <v>61</v>
      </c>
      <c r="D44" s="27">
        <v>45950</v>
      </c>
      <c r="E44" s="2"/>
      <c r="F44" s="2" t="s">
        <v>8</v>
      </c>
      <c r="G44" s="24" t="s">
        <v>97</v>
      </c>
    </row>
    <row r="45" spans="1:7" x14ac:dyDescent="0.2">
      <c r="A45" s="2" t="s">
        <v>1467</v>
      </c>
      <c r="B45" s="2" t="s">
        <v>1468</v>
      </c>
      <c r="C45" s="2" t="s">
        <v>61</v>
      </c>
      <c r="D45" s="27">
        <v>45961</v>
      </c>
      <c r="E45" s="2"/>
      <c r="F45" s="2" t="s">
        <v>8</v>
      </c>
      <c r="G45" s="24" t="s">
        <v>95</v>
      </c>
    </row>
    <row r="46" spans="1:7" x14ac:dyDescent="0.2">
      <c r="A46" s="2" t="s">
        <v>1469</v>
      </c>
      <c r="B46" s="2" t="s">
        <v>1470</v>
      </c>
      <c r="C46" s="2" t="s">
        <v>61</v>
      </c>
      <c r="D46" s="27">
        <v>45961</v>
      </c>
      <c r="E46" s="2"/>
      <c r="F46" s="2" t="s">
        <v>8</v>
      </c>
      <c r="G46" s="24" t="s">
        <v>97</v>
      </c>
    </row>
    <row r="47" spans="1:7" x14ac:dyDescent="0.2">
      <c r="A47" s="2" t="s">
        <v>1471</v>
      </c>
      <c r="B47" s="2" t="s">
        <v>1472</v>
      </c>
      <c r="C47" s="2" t="s">
        <v>61</v>
      </c>
      <c r="D47" s="27">
        <v>45950</v>
      </c>
      <c r="E47" s="2"/>
      <c r="F47" s="2" t="s">
        <v>8</v>
      </c>
      <c r="G47" s="24" t="s">
        <v>97</v>
      </c>
    </row>
    <row r="48" spans="1:7" x14ac:dyDescent="0.2">
      <c r="A48" s="2" t="s">
        <v>1473</v>
      </c>
      <c r="B48" s="2" t="s">
        <v>1474</v>
      </c>
      <c r="C48" s="2" t="s">
        <v>61</v>
      </c>
      <c r="D48" s="27">
        <v>45946</v>
      </c>
      <c r="E48" s="2"/>
      <c r="F48" s="2" t="s">
        <v>8</v>
      </c>
      <c r="G48" s="24" t="s">
        <v>97</v>
      </c>
    </row>
    <row r="49" spans="1:7" x14ac:dyDescent="0.2">
      <c r="A49" s="2" t="s">
        <v>1475</v>
      </c>
      <c r="B49" s="2" t="s">
        <v>1476</v>
      </c>
      <c r="C49" s="2" t="s">
        <v>61</v>
      </c>
      <c r="D49" s="27">
        <v>45931</v>
      </c>
      <c r="E49" s="2"/>
      <c r="F49" s="2" t="s">
        <v>8</v>
      </c>
      <c r="G49" s="24" t="s">
        <v>97</v>
      </c>
    </row>
    <row r="50" spans="1:7" x14ac:dyDescent="0.2">
      <c r="A50" s="2" t="s">
        <v>1477</v>
      </c>
      <c r="B50" s="2" t="s">
        <v>1478</v>
      </c>
      <c r="C50" s="2" t="s">
        <v>61</v>
      </c>
      <c r="D50" s="27">
        <v>45947</v>
      </c>
      <c r="E50" s="2"/>
      <c r="F50" s="2" t="s">
        <v>8</v>
      </c>
      <c r="G50" s="24" t="s">
        <v>95</v>
      </c>
    </row>
    <row r="51" spans="1:7" x14ac:dyDescent="0.2">
      <c r="A51" s="2" t="s">
        <v>1479</v>
      </c>
      <c r="B51" s="2" t="s">
        <v>1480</v>
      </c>
      <c r="C51" s="2" t="s">
        <v>61</v>
      </c>
      <c r="D51" s="27">
        <v>45946</v>
      </c>
      <c r="E51" s="2"/>
      <c r="F51" s="2" t="s">
        <v>8</v>
      </c>
      <c r="G51" s="24" t="s">
        <v>1365</v>
      </c>
    </row>
    <row r="52" spans="1:7" x14ac:dyDescent="0.2">
      <c r="A52" s="2" t="s">
        <v>1481</v>
      </c>
      <c r="B52" s="2" t="s">
        <v>1482</v>
      </c>
      <c r="C52" s="2" t="s">
        <v>61</v>
      </c>
      <c r="D52" s="27">
        <v>45958</v>
      </c>
      <c r="E52" s="2"/>
      <c r="F52" s="2" t="s">
        <v>8</v>
      </c>
      <c r="G52" s="24" t="s">
        <v>3894</v>
      </c>
    </row>
    <row r="53" spans="1:7" x14ac:dyDescent="0.2">
      <c r="A53" s="2" t="s">
        <v>1483</v>
      </c>
      <c r="B53" s="2" t="s">
        <v>1484</v>
      </c>
      <c r="C53" s="2" t="s">
        <v>61</v>
      </c>
      <c r="D53" s="27">
        <v>45954</v>
      </c>
      <c r="E53" s="2"/>
      <c r="F53" s="2" t="s">
        <v>8</v>
      </c>
      <c r="G53" s="24" t="s">
        <v>97</v>
      </c>
    </row>
    <row r="54" spans="1:7" x14ac:dyDescent="0.2">
      <c r="A54" s="2" t="s">
        <v>1485</v>
      </c>
      <c r="B54" s="2" t="s">
        <v>1486</v>
      </c>
      <c r="C54" s="2" t="s">
        <v>61</v>
      </c>
      <c r="D54" s="27">
        <v>45957</v>
      </c>
      <c r="E54" s="2"/>
      <c r="F54" s="2" t="s">
        <v>8</v>
      </c>
      <c r="G54" s="24" t="s">
        <v>97</v>
      </c>
    </row>
    <row r="55" spans="1:7" x14ac:dyDescent="0.2">
      <c r="A55" s="2" t="s">
        <v>1487</v>
      </c>
      <c r="B55" s="2" t="s">
        <v>1488</v>
      </c>
      <c r="C55" s="2" t="s">
        <v>61</v>
      </c>
      <c r="D55" s="27">
        <v>45951</v>
      </c>
      <c r="E55" s="2"/>
      <c r="F55" s="2" t="s">
        <v>8</v>
      </c>
      <c r="G55" s="24" t="s">
        <v>97</v>
      </c>
    </row>
    <row r="56" spans="1:7" x14ac:dyDescent="0.2">
      <c r="A56" s="2" t="s">
        <v>1489</v>
      </c>
      <c r="B56" s="2" t="s">
        <v>1490</v>
      </c>
      <c r="C56" s="2" t="s">
        <v>61</v>
      </c>
      <c r="D56" s="27">
        <v>45947</v>
      </c>
      <c r="E56" s="2"/>
      <c r="F56" s="2" t="s">
        <v>8</v>
      </c>
      <c r="G56" s="24" t="s">
        <v>97</v>
      </c>
    </row>
    <row r="57" spans="1:7" x14ac:dyDescent="0.2">
      <c r="A57" s="2" t="s">
        <v>1491</v>
      </c>
      <c r="B57" s="2" t="s">
        <v>1492</v>
      </c>
      <c r="C57" s="2" t="s">
        <v>61</v>
      </c>
      <c r="D57" s="27">
        <v>45961</v>
      </c>
      <c r="E57" s="2"/>
      <c r="F57" s="2" t="s">
        <v>8</v>
      </c>
      <c r="G57" s="24" t="s">
        <v>97</v>
      </c>
    </row>
    <row r="58" spans="1:7" x14ac:dyDescent="0.2">
      <c r="A58" s="2" t="s">
        <v>1493</v>
      </c>
      <c r="B58" s="2" t="s">
        <v>1494</v>
      </c>
      <c r="C58" s="2" t="s">
        <v>61</v>
      </c>
      <c r="D58" s="27">
        <v>45957</v>
      </c>
      <c r="E58" s="2"/>
      <c r="F58" s="2" t="s">
        <v>8</v>
      </c>
      <c r="G58" s="24" t="s">
        <v>97</v>
      </c>
    </row>
    <row r="59" spans="1:7" x14ac:dyDescent="0.2">
      <c r="A59" s="2" t="s">
        <v>1495</v>
      </c>
      <c r="B59" s="2" t="s">
        <v>1496</v>
      </c>
      <c r="C59" s="2" t="s">
        <v>61</v>
      </c>
      <c r="D59" s="27">
        <v>45961</v>
      </c>
      <c r="E59" s="2"/>
      <c r="F59" s="2" t="s">
        <v>8</v>
      </c>
      <c r="G59" s="24" t="s">
        <v>97</v>
      </c>
    </row>
    <row r="60" spans="1:7" x14ac:dyDescent="0.2">
      <c r="A60" s="2" t="s">
        <v>1497</v>
      </c>
      <c r="B60" s="2" t="s">
        <v>1498</v>
      </c>
      <c r="C60" s="2" t="s">
        <v>61</v>
      </c>
      <c r="D60" s="27">
        <v>45932</v>
      </c>
      <c r="E60" s="2"/>
      <c r="F60" s="2" t="s">
        <v>8</v>
      </c>
      <c r="G60" s="24" t="s">
        <v>97</v>
      </c>
    </row>
    <row r="61" spans="1:7" x14ac:dyDescent="0.2">
      <c r="A61" s="2" t="s">
        <v>1499</v>
      </c>
      <c r="B61" s="2" t="s">
        <v>1500</v>
      </c>
      <c r="C61" s="2" t="s">
        <v>61</v>
      </c>
      <c r="D61" s="27">
        <v>45946</v>
      </c>
      <c r="E61" s="2"/>
      <c r="F61" s="2" t="s">
        <v>8</v>
      </c>
      <c r="G61" s="24" t="s">
        <v>97</v>
      </c>
    </row>
    <row r="62" spans="1:7" x14ac:dyDescent="0.2">
      <c r="A62" s="2" t="s">
        <v>1501</v>
      </c>
      <c r="B62" s="2" t="s">
        <v>1502</v>
      </c>
      <c r="C62" s="2" t="s">
        <v>61</v>
      </c>
      <c r="D62" s="27">
        <v>45947</v>
      </c>
      <c r="E62" s="2"/>
      <c r="F62" s="2" t="s">
        <v>8</v>
      </c>
      <c r="G62" s="24" t="s">
        <v>97</v>
      </c>
    </row>
    <row r="63" spans="1:7" x14ac:dyDescent="0.2">
      <c r="A63" s="2" t="s">
        <v>1503</v>
      </c>
      <c r="B63" s="2" t="s">
        <v>1504</v>
      </c>
      <c r="C63" s="2" t="s">
        <v>61</v>
      </c>
      <c r="D63" s="27">
        <v>45931</v>
      </c>
      <c r="E63" s="2"/>
      <c r="F63" s="2" t="s">
        <v>8</v>
      </c>
      <c r="G63" s="24" t="s">
        <v>97</v>
      </c>
    </row>
    <row r="64" spans="1:7" x14ac:dyDescent="0.2">
      <c r="A64" s="2" t="s">
        <v>1505</v>
      </c>
      <c r="B64" s="2" t="s">
        <v>1506</v>
      </c>
      <c r="C64" s="2" t="s">
        <v>61</v>
      </c>
      <c r="D64" s="27">
        <v>45953</v>
      </c>
      <c r="E64" s="2"/>
      <c r="F64" s="2" t="s">
        <v>8</v>
      </c>
      <c r="G64" s="24" t="s">
        <v>97</v>
      </c>
    </row>
    <row r="65" spans="1:7" x14ac:dyDescent="0.2">
      <c r="A65" s="2" t="s">
        <v>1507</v>
      </c>
      <c r="B65" s="2" t="s">
        <v>1508</v>
      </c>
      <c r="C65" s="2" t="s">
        <v>61</v>
      </c>
      <c r="D65" s="27">
        <v>45933</v>
      </c>
      <c r="E65" s="2"/>
      <c r="F65" s="2" t="s">
        <v>8</v>
      </c>
      <c r="G65" s="24" t="s">
        <v>97</v>
      </c>
    </row>
    <row r="66" spans="1:7" x14ac:dyDescent="0.2">
      <c r="A66" s="2" t="s">
        <v>1509</v>
      </c>
      <c r="B66" s="2" t="s">
        <v>1510</v>
      </c>
      <c r="C66" s="2" t="s">
        <v>61</v>
      </c>
      <c r="D66" s="27">
        <v>45954</v>
      </c>
      <c r="E66" s="2"/>
      <c r="F66" s="2" t="s">
        <v>8</v>
      </c>
      <c r="G66" s="24" t="s">
        <v>97</v>
      </c>
    </row>
    <row r="67" spans="1:7" x14ac:dyDescent="0.2">
      <c r="A67" s="2" t="s">
        <v>1511</v>
      </c>
      <c r="B67" s="2" t="s">
        <v>1512</v>
      </c>
      <c r="C67" s="2" t="s">
        <v>61</v>
      </c>
      <c r="D67" s="27">
        <v>45946</v>
      </c>
      <c r="E67" s="2"/>
      <c r="F67" s="2" t="s">
        <v>8</v>
      </c>
      <c r="G67" s="24" t="s">
        <v>97</v>
      </c>
    </row>
    <row r="68" spans="1:7" x14ac:dyDescent="0.2">
      <c r="A68" s="2" t="s">
        <v>1513</v>
      </c>
      <c r="B68" s="2" t="s">
        <v>1514</v>
      </c>
      <c r="C68" s="2" t="s">
        <v>61</v>
      </c>
      <c r="D68" s="27">
        <v>45951</v>
      </c>
      <c r="E68" s="2"/>
      <c r="F68" s="2" t="s">
        <v>8</v>
      </c>
      <c r="G68" s="24" t="s">
        <v>97</v>
      </c>
    </row>
    <row r="69" spans="1:7" x14ac:dyDescent="0.2">
      <c r="A69" s="2" t="s">
        <v>1515</v>
      </c>
      <c r="B69" s="2" t="s">
        <v>1516</v>
      </c>
      <c r="C69" s="2" t="s">
        <v>61</v>
      </c>
      <c r="D69" s="27">
        <v>45945</v>
      </c>
      <c r="E69" s="2"/>
      <c r="F69" s="2" t="s">
        <v>8</v>
      </c>
      <c r="G69" s="24" t="s">
        <v>97</v>
      </c>
    </row>
    <row r="70" spans="1:7" x14ac:dyDescent="0.2">
      <c r="A70" s="2" t="s">
        <v>1517</v>
      </c>
      <c r="B70" s="2" t="s">
        <v>1518</v>
      </c>
      <c r="C70" s="2" t="s">
        <v>61</v>
      </c>
      <c r="D70" s="27">
        <v>45947</v>
      </c>
      <c r="E70" s="2"/>
      <c r="F70" s="2" t="s">
        <v>8</v>
      </c>
      <c r="G70" s="24" t="s">
        <v>97</v>
      </c>
    </row>
    <row r="71" spans="1:7" x14ac:dyDescent="0.2">
      <c r="A71" s="2" t="s">
        <v>1519</v>
      </c>
      <c r="B71" s="2" t="s">
        <v>1520</v>
      </c>
      <c r="C71" s="2" t="s">
        <v>61</v>
      </c>
      <c r="D71" s="27">
        <v>45951</v>
      </c>
      <c r="E71" s="2"/>
      <c r="F71" s="2" t="s">
        <v>8</v>
      </c>
      <c r="G71" s="24" t="s">
        <v>3894</v>
      </c>
    </row>
    <row r="72" spans="1:7" x14ac:dyDescent="0.2">
      <c r="A72" s="2" t="s">
        <v>1521</v>
      </c>
      <c r="B72" s="2" t="s">
        <v>1522</v>
      </c>
      <c r="C72" s="2" t="s">
        <v>61</v>
      </c>
      <c r="D72" s="27">
        <v>45932</v>
      </c>
      <c r="E72" s="2"/>
      <c r="F72" s="2" t="s">
        <v>8</v>
      </c>
      <c r="G72" s="24" t="s">
        <v>97</v>
      </c>
    </row>
    <row r="73" spans="1:7" x14ac:dyDescent="0.2">
      <c r="A73" s="2" t="s">
        <v>1523</v>
      </c>
      <c r="B73" s="2" t="s">
        <v>1524</v>
      </c>
      <c r="C73" s="2" t="s">
        <v>61</v>
      </c>
      <c r="D73" s="27">
        <v>45950</v>
      </c>
      <c r="E73" s="2"/>
      <c r="F73" s="2" t="s">
        <v>8</v>
      </c>
      <c r="G73" s="24" t="s">
        <v>97</v>
      </c>
    </row>
    <row r="74" spans="1:7" x14ac:dyDescent="0.2">
      <c r="A74" s="2" t="s">
        <v>1525</v>
      </c>
      <c r="B74" s="2" t="s">
        <v>1526</v>
      </c>
      <c r="C74" s="2" t="s">
        <v>61</v>
      </c>
      <c r="D74" s="27">
        <v>45960</v>
      </c>
      <c r="E74" s="2"/>
      <c r="F74" s="2" t="s">
        <v>8</v>
      </c>
      <c r="G74" s="24" t="s">
        <v>97</v>
      </c>
    </row>
    <row r="75" spans="1:7" x14ac:dyDescent="0.2">
      <c r="A75" s="2" t="s">
        <v>1527</v>
      </c>
      <c r="B75" s="2" t="s">
        <v>1528</v>
      </c>
      <c r="C75" s="2" t="s">
        <v>61</v>
      </c>
      <c r="D75" s="27">
        <v>45958</v>
      </c>
      <c r="E75" s="2"/>
      <c r="F75" s="2" t="s">
        <v>8</v>
      </c>
      <c r="G75" s="24" t="s">
        <v>3894</v>
      </c>
    </row>
    <row r="76" spans="1:7" x14ac:dyDescent="0.2">
      <c r="A76" s="2" t="s">
        <v>1529</v>
      </c>
      <c r="B76" s="2" t="s">
        <v>1530</v>
      </c>
      <c r="C76" s="2" t="s">
        <v>61</v>
      </c>
      <c r="D76" s="27">
        <v>45950</v>
      </c>
      <c r="E76" s="2"/>
      <c r="F76" s="2" t="s">
        <v>8</v>
      </c>
      <c r="G76" s="24" t="s">
        <v>97</v>
      </c>
    </row>
    <row r="77" spans="1:7" x14ac:dyDescent="0.2">
      <c r="A77" s="2" t="s">
        <v>1531</v>
      </c>
      <c r="B77" s="2" t="s">
        <v>1532</v>
      </c>
      <c r="C77" s="2" t="s">
        <v>61</v>
      </c>
      <c r="D77" s="27">
        <v>45950</v>
      </c>
      <c r="E77" s="2"/>
      <c r="F77" s="2" t="s">
        <v>8</v>
      </c>
      <c r="G77" s="24" t="s">
        <v>97</v>
      </c>
    </row>
    <row r="78" spans="1:7" x14ac:dyDescent="0.2">
      <c r="A78" s="2" t="s">
        <v>1533</v>
      </c>
      <c r="B78" s="2" t="s">
        <v>1534</v>
      </c>
      <c r="C78" s="2" t="s">
        <v>61</v>
      </c>
      <c r="D78" s="27">
        <v>45944</v>
      </c>
      <c r="E78" s="2"/>
      <c r="F78" s="2" t="s">
        <v>8</v>
      </c>
      <c r="G78" s="24" t="s">
        <v>590</v>
      </c>
    </row>
    <row r="79" spans="1:7" x14ac:dyDescent="0.2">
      <c r="A79" s="2" t="s">
        <v>1535</v>
      </c>
      <c r="B79" s="2" t="s">
        <v>1536</v>
      </c>
      <c r="C79" s="2" t="s">
        <v>61</v>
      </c>
      <c r="D79" s="27">
        <v>45932</v>
      </c>
      <c r="E79" s="2"/>
      <c r="F79" s="2" t="s">
        <v>8</v>
      </c>
      <c r="G79" s="24" t="s">
        <v>590</v>
      </c>
    </row>
    <row r="80" spans="1:7" x14ac:dyDescent="0.2">
      <c r="A80" s="2" t="s">
        <v>1537</v>
      </c>
      <c r="B80" s="2" t="s">
        <v>1538</v>
      </c>
      <c r="C80" s="2" t="s">
        <v>61</v>
      </c>
      <c r="D80" s="27">
        <v>45943</v>
      </c>
      <c r="E80" s="2"/>
      <c r="F80" s="2" t="s">
        <v>8</v>
      </c>
      <c r="G80" s="24" t="s">
        <v>590</v>
      </c>
    </row>
    <row r="81" spans="1:7" x14ac:dyDescent="0.2">
      <c r="A81" s="2" t="s">
        <v>1539</v>
      </c>
      <c r="B81" s="2" t="s">
        <v>1540</v>
      </c>
      <c r="C81" s="2" t="s">
        <v>61</v>
      </c>
      <c r="D81" s="27">
        <v>45956</v>
      </c>
      <c r="E81" s="2"/>
      <c r="F81" s="2" t="s">
        <v>8</v>
      </c>
      <c r="G81" s="24" t="s">
        <v>590</v>
      </c>
    </row>
    <row r="82" spans="1:7" x14ac:dyDescent="0.2">
      <c r="A82" s="2" t="s">
        <v>1541</v>
      </c>
      <c r="B82" s="2" t="s">
        <v>1542</v>
      </c>
      <c r="C82" s="2" t="s">
        <v>61</v>
      </c>
      <c r="D82" s="27">
        <v>45958</v>
      </c>
      <c r="E82" s="2"/>
      <c r="F82" s="2" t="s">
        <v>8</v>
      </c>
      <c r="G82" s="24" t="s">
        <v>590</v>
      </c>
    </row>
    <row r="83" spans="1:7" x14ac:dyDescent="0.2">
      <c r="A83" s="2" t="s">
        <v>1543</v>
      </c>
      <c r="B83" s="2" t="s">
        <v>1544</v>
      </c>
      <c r="C83" s="2" t="s">
        <v>61</v>
      </c>
      <c r="D83" s="27">
        <v>45946</v>
      </c>
      <c r="E83" s="2"/>
      <c r="F83" s="2" t="s">
        <v>8</v>
      </c>
      <c r="G83" s="24" t="s">
        <v>590</v>
      </c>
    </row>
    <row r="84" spans="1:7" x14ac:dyDescent="0.2">
      <c r="A84" s="2" t="s">
        <v>1545</v>
      </c>
      <c r="B84" s="2" t="s">
        <v>1546</v>
      </c>
      <c r="C84" s="2" t="s">
        <v>61</v>
      </c>
      <c r="D84" s="27">
        <v>45954</v>
      </c>
      <c r="E84" s="2"/>
      <c r="F84" s="2" t="s">
        <v>8</v>
      </c>
      <c r="G84" s="24" t="s">
        <v>79</v>
      </c>
    </row>
    <row r="85" spans="1:7" x14ac:dyDescent="0.2">
      <c r="A85" s="2" t="s">
        <v>1547</v>
      </c>
      <c r="B85" s="2" t="s">
        <v>1548</v>
      </c>
      <c r="C85" s="2" t="s">
        <v>61</v>
      </c>
      <c r="D85" s="27">
        <v>45938</v>
      </c>
      <c r="E85" s="2"/>
      <c r="F85" s="2" t="s">
        <v>8</v>
      </c>
      <c r="G85" s="24" t="s">
        <v>590</v>
      </c>
    </row>
    <row r="86" spans="1:7" x14ac:dyDescent="0.2">
      <c r="A86" s="2" t="s">
        <v>1549</v>
      </c>
      <c r="B86" s="2" t="s">
        <v>1550</v>
      </c>
      <c r="C86" s="2" t="s">
        <v>61</v>
      </c>
      <c r="D86" s="27">
        <v>45939</v>
      </c>
      <c r="E86" s="2"/>
      <c r="F86" s="2" t="s">
        <v>8</v>
      </c>
      <c r="G86" s="24" t="s">
        <v>590</v>
      </c>
    </row>
    <row r="87" spans="1:7" x14ac:dyDescent="0.2">
      <c r="A87" s="2" t="s">
        <v>1551</v>
      </c>
      <c r="B87" s="2" t="s">
        <v>1552</v>
      </c>
      <c r="C87" s="2" t="s">
        <v>61</v>
      </c>
      <c r="D87" s="27">
        <v>45950</v>
      </c>
      <c r="E87" s="2"/>
      <c r="F87" s="2" t="s">
        <v>8</v>
      </c>
      <c r="G87" s="24" t="s">
        <v>593</v>
      </c>
    </row>
    <row r="88" spans="1:7" x14ac:dyDescent="0.2">
      <c r="A88" s="2" t="s">
        <v>1553</v>
      </c>
      <c r="B88" s="2" t="s">
        <v>1554</v>
      </c>
      <c r="C88" s="2" t="s">
        <v>61</v>
      </c>
      <c r="D88" s="27">
        <v>45952</v>
      </c>
      <c r="E88" s="2"/>
      <c r="F88" s="2" t="s">
        <v>8</v>
      </c>
      <c r="G88" s="24" t="s">
        <v>590</v>
      </c>
    </row>
    <row r="89" spans="1:7" x14ac:dyDescent="0.2">
      <c r="A89" s="2" t="s">
        <v>1555</v>
      </c>
      <c r="B89" s="2" t="s">
        <v>1556</v>
      </c>
      <c r="C89" s="2" t="s">
        <v>61</v>
      </c>
      <c r="D89" s="27">
        <v>45937</v>
      </c>
      <c r="E89" s="2"/>
      <c r="F89" s="2" t="s">
        <v>8</v>
      </c>
      <c r="G89" s="24" t="s">
        <v>590</v>
      </c>
    </row>
    <row r="90" spans="1:7" x14ac:dyDescent="0.2">
      <c r="A90" s="2" t="s">
        <v>1557</v>
      </c>
      <c r="B90" s="2" t="s">
        <v>1558</v>
      </c>
      <c r="C90" s="2" t="s">
        <v>61</v>
      </c>
      <c r="D90" s="27">
        <v>45939</v>
      </c>
      <c r="E90" s="2"/>
      <c r="F90" s="2" t="s">
        <v>8</v>
      </c>
      <c r="G90" s="24" t="s">
        <v>590</v>
      </c>
    </row>
    <row r="91" spans="1:7" x14ac:dyDescent="0.2">
      <c r="A91" s="2" t="s">
        <v>1559</v>
      </c>
      <c r="B91" s="2" t="s">
        <v>1560</v>
      </c>
      <c r="C91" s="2" t="s">
        <v>61</v>
      </c>
      <c r="D91" s="27">
        <v>45952</v>
      </c>
      <c r="E91" s="2"/>
      <c r="F91" s="2" t="s">
        <v>8</v>
      </c>
      <c r="G91" s="24" t="s">
        <v>590</v>
      </c>
    </row>
    <row r="92" spans="1:7" x14ac:dyDescent="0.2">
      <c r="A92" s="2" t="s">
        <v>1561</v>
      </c>
      <c r="B92" s="2" t="s">
        <v>1562</v>
      </c>
      <c r="C92" s="2" t="s">
        <v>61</v>
      </c>
      <c r="D92" s="27">
        <v>45959</v>
      </c>
      <c r="E92" s="2"/>
      <c r="F92" s="2" t="s">
        <v>8</v>
      </c>
      <c r="G92" s="24" t="s">
        <v>590</v>
      </c>
    </row>
    <row r="93" spans="1:7" x14ac:dyDescent="0.2">
      <c r="A93" s="2" t="s">
        <v>1563</v>
      </c>
      <c r="B93" s="2" t="s">
        <v>1564</v>
      </c>
      <c r="C93" s="2" t="s">
        <v>61</v>
      </c>
      <c r="D93" s="27">
        <v>45941</v>
      </c>
      <c r="E93" s="2"/>
      <c r="F93" s="2" t="s">
        <v>8</v>
      </c>
      <c r="G93" s="24" t="s">
        <v>590</v>
      </c>
    </row>
    <row r="94" spans="1:7" x14ac:dyDescent="0.2">
      <c r="A94" s="2" t="s">
        <v>1565</v>
      </c>
      <c r="B94" s="2" t="s">
        <v>1566</v>
      </c>
      <c r="C94" s="2" t="s">
        <v>61</v>
      </c>
      <c r="D94" s="27">
        <v>45946</v>
      </c>
      <c r="E94" s="2"/>
      <c r="F94" s="2" t="s">
        <v>8</v>
      </c>
      <c r="G94" s="24" t="s">
        <v>590</v>
      </c>
    </row>
    <row r="95" spans="1:7" x14ac:dyDescent="0.2">
      <c r="A95" s="2" t="s">
        <v>1567</v>
      </c>
      <c r="B95" s="2" t="s">
        <v>1568</v>
      </c>
      <c r="C95" s="2" t="s">
        <v>61</v>
      </c>
      <c r="D95" s="27">
        <v>45957</v>
      </c>
      <c r="E95" s="2"/>
      <c r="F95" s="2" t="s">
        <v>8</v>
      </c>
      <c r="G95" s="24" t="s">
        <v>590</v>
      </c>
    </row>
    <row r="96" spans="1:7" x14ac:dyDescent="0.2">
      <c r="A96" s="2" t="s">
        <v>1569</v>
      </c>
      <c r="B96" s="2" t="s">
        <v>1570</v>
      </c>
      <c r="C96" s="2" t="s">
        <v>61</v>
      </c>
      <c r="D96" s="27">
        <v>45946</v>
      </c>
      <c r="E96" s="2"/>
      <c r="F96" s="2" t="s">
        <v>8</v>
      </c>
      <c r="G96" s="24" t="s">
        <v>590</v>
      </c>
    </row>
    <row r="97" spans="1:7" x14ac:dyDescent="0.2">
      <c r="A97" s="2" t="s">
        <v>1571</v>
      </c>
      <c r="B97" s="2" t="s">
        <v>1572</v>
      </c>
      <c r="C97" s="2" t="s">
        <v>61</v>
      </c>
      <c r="D97" s="27">
        <v>45953</v>
      </c>
      <c r="E97" s="2"/>
      <c r="F97" s="2" t="s">
        <v>8</v>
      </c>
      <c r="G97" s="24" t="s">
        <v>590</v>
      </c>
    </row>
    <row r="98" spans="1:7" x14ac:dyDescent="0.2">
      <c r="A98" s="2" t="s">
        <v>1573</v>
      </c>
      <c r="B98" s="2" t="s">
        <v>1574</v>
      </c>
      <c r="C98" s="2" t="s">
        <v>61</v>
      </c>
      <c r="D98" s="27">
        <v>45947</v>
      </c>
      <c r="E98" s="2"/>
      <c r="F98" s="2" t="s">
        <v>8</v>
      </c>
      <c r="G98" s="24" t="s">
        <v>590</v>
      </c>
    </row>
    <row r="99" spans="1:7" x14ac:dyDescent="0.2">
      <c r="A99" s="2" t="s">
        <v>1575</v>
      </c>
      <c r="B99" s="2" t="s">
        <v>1576</v>
      </c>
      <c r="C99" s="2" t="s">
        <v>61</v>
      </c>
      <c r="D99" s="27">
        <v>45955</v>
      </c>
      <c r="E99" s="2"/>
      <c r="F99" s="2" t="s">
        <v>8</v>
      </c>
      <c r="G99" s="24" t="s">
        <v>590</v>
      </c>
    </row>
    <row r="100" spans="1:7" x14ac:dyDescent="0.2">
      <c r="A100" s="2" t="s">
        <v>1577</v>
      </c>
      <c r="B100" s="2" t="s">
        <v>1578</v>
      </c>
      <c r="C100" s="2" t="s">
        <v>61</v>
      </c>
      <c r="D100" s="27">
        <v>45958</v>
      </c>
      <c r="E100" s="2"/>
      <c r="F100" s="2" t="s">
        <v>8</v>
      </c>
      <c r="G100" s="24" t="s">
        <v>590</v>
      </c>
    </row>
    <row r="101" spans="1:7" x14ac:dyDescent="0.2">
      <c r="A101" s="2" t="s">
        <v>1579</v>
      </c>
      <c r="B101" s="2" t="s">
        <v>1580</v>
      </c>
      <c r="C101" s="2" t="s">
        <v>61</v>
      </c>
      <c r="D101" s="27">
        <v>45932</v>
      </c>
      <c r="E101" s="2"/>
      <c r="F101" s="2" t="s">
        <v>8</v>
      </c>
      <c r="G101" s="24" t="s">
        <v>590</v>
      </c>
    </row>
    <row r="102" spans="1:7" x14ac:dyDescent="0.2">
      <c r="A102" s="2" t="s">
        <v>1581</v>
      </c>
      <c r="B102" s="2" t="s">
        <v>1582</v>
      </c>
      <c r="C102" s="2" t="s">
        <v>61</v>
      </c>
      <c r="D102" s="27">
        <v>45948</v>
      </c>
      <c r="E102" s="2"/>
      <c r="F102" s="2" t="s">
        <v>8</v>
      </c>
      <c r="G102" s="24" t="s">
        <v>590</v>
      </c>
    </row>
    <row r="103" spans="1:7" x14ac:dyDescent="0.2">
      <c r="A103" s="2" t="s">
        <v>1583</v>
      </c>
      <c r="B103" s="2" t="s">
        <v>1584</v>
      </c>
      <c r="C103" s="2" t="s">
        <v>61</v>
      </c>
      <c r="D103" s="27">
        <v>45961</v>
      </c>
      <c r="E103" s="2"/>
      <c r="F103" s="2" t="s">
        <v>8</v>
      </c>
      <c r="G103" s="24" t="s">
        <v>590</v>
      </c>
    </row>
    <row r="104" spans="1:7" x14ac:dyDescent="0.2">
      <c r="A104" s="2" t="s">
        <v>1585</v>
      </c>
      <c r="B104" s="2" t="s">
        <v>1586</v>
      </c>
      <c r="C104" s="2" t="s">
        <v>61</v>
      </c>
      <c r="D104" s="27">
        <v>45945</v>
      </c>
      <c r="E104" s="2"/>
      <c r="F104" s="2" t="s">
        <v>8</v>
      </c>
      <c r="G104" s="24" t="s">
        <v>590</v>
      </c>
    </row>
    <row r="105" spans="1:7" x14ac:dyDescent="0.2">
      <c r="A105" s="2" t="s">
        <v>1587</v>
      </c>
      <c r="B105" s="2" t="s">
        <v>1588</v>
      </c>
      <c r="C105" s="2" t="s">
        <v>61</v>
      </c>
      <c r="D105" s="27">
        <v>45937</v>
      </c>
      <c r="E105" s="2"/>
      <c r="F105" s="2" t="s">
        <v>8</v>
      </c>
      <c r="G105" s="24" t="s">
        <v>590</v>
      </c>
    </row>
    <row r="106" spans="1:7" x14ac:dyDescent="0.2">
      <c r="A106" s="2" t="s">
        <v>1589</v>
      </c>
      <c r="B106" s="2" t="s">
        <v>1590</v>
      </c>
      <c r="C106" s="2" t="s">
        <v>61</v>
      </c>
      <c r="D106" s="27">
        <v>45946</v>
      </c>
      <c r="E106" s="2"/>
      <c r="F106" s="2" t="s">
        <v>8</v>
      </c>
      <c r="G106" s="24" t="s">
        <v>590</v>
      </c>
    </row>
    <row r="107" spans="1:7" x14ac:dyDescent="0.2">
      <c r="A107" s="2" t="s">
        <v>1591</v>
      </c>
      <c r="B107" s="2" t="s">
        <v>1592</v>
      </c>
      <c r="C107" s="2" t="s">
        <v>61</v>
      </c>
      <c r="D107" s="27">
        <v>45940</v>
      </c>
      <c r="E107" s="2"/>
      <c r="F107" s="2" t="s">
        <v>8</v>
      </c>
      <c r="G107" s="24" t="s">
        <v>590</v>
      </c>
    </row>
    <row r="108" spans="1:7" x14ac:dyDescent="0.2">
      <c r="A108" s="2" t="s">
        <v>1593</v>
      </c>
      <c r="B108" s="2" t="s">
        <v>1594</v>
      </c>
      <c r="C108" s="2" t="s">
        <v>61</v>
      </c>
      <c r="D108" s="27">
        <v>45951</v>
      </c>
      <c r="E108" s="2"/>
      <c r="F108" s="2" t="s">
        <v>8</v>
      </c>
      <c r="G108" s="24" t="s">
        <v>590</v>
      </c>
    </row>
    <row r="109" spans="1:7" x14ac:dyDescent="0.2">
      <c r="A109" s="2" t="s">
        <v>1595</v>
      </c>
      <c r="B109" s="2" t="s">
        <v>1596</v>
      </c>
      <c r="C109" s="2" t="s">
        <v>61</v>
      </c>
      <c r="D109" s="27">
        <v>45957</v>
      </c>
      <c r="E109" s="2"/>
      <c r="F109" s="2" t="s">
        <v>8</v>
      </c>
      <c r="G109" s="24" t="s">
        <v>590</v>
      </c>
    </row>
    <row r="110" spans="1:7" x14ac:dyDescent="0.2">
      <c r="A110" s="2" t="s">
        <v>1597</v>
      </c>
      <c r="B110" s="2" t="s">
        <v>1598</v>
      </c>
      <c r="C110" s="2" t="s">
        <v>61</v>
      </c>
      <c r="D110" s="27">
        <v>45931</v>
      </c>
      <c r="E110" s="2"/>
      <c r="F110" s="2" t="s">
        <v>8</v>
      </c>
      <c r="G110" s="24" t="s">
        <v>79</v>
      </c>
    </row>
    <row r="111" spans="1:7" x14ac:dyDescent="0.2">
      <c r="A111" s="2" t="s">
        <v>1599</v>
      </c>
      <c r="B111" s="2" t="s">
        <v>1600</v>
      </c>
      <c r="C111" s="2" t="s">
        <v>61</v>
      </c>
      <c r="D111" s="27">
        <v>45950</v>
      </c>
      <c r="E111" s="2"/>
      <c r="F111" s="2" t="s">
        <v>8</v>
      </c>
      <c r="G111" s="24" t="s">
        <v>58</v>
      </c>
    </row>
    <row r="112" spans="1:7" x14ac:dyDescent="0.2">
      <c r="A112" s="2" t="s">
        <v>1601</v>
      </c>
      <c r="B112" s="2" t="s">
        <v>1602</v>
      </c>
      <c r="C112" s="2" t="s">
        <v>61</v>
      </c>
      <c r="D112" s="27">
        <v>45960</v>
      </c>
      <c r="E112" s="2"/>
      <c r="F112" s="2" t="s">
        <v>8</v>
      </c>
      <c r="G112" s="24" t="s">
        <v>590</v>
      </c>
    </row>
    <row r="113" spans="1:7" x14ac:dyDescent="0.2">
      <c r="A113" s="2" t="s">
        <v>1603</v>
      </c>
      <c r="B113" s="2" t="s">
        <v>1604</v>
      </c>
      <c r="C113" s="2" t="s">
        <v>61</v>
      </c>
      <c r="D113" s="27">
        <v>45957</v>
      </c>
      <c r="E113" s="2"/>
      <c r="F113" s="2" t="s">
        <v>8</v>
      </c>
      <c r="G113" s="24" t="s">
        <v>590</v>
      </c>
    </row>
    <row r="114" spans="1:7" x14ac:dyDescent="0.2">
      <c r="A114" s="2" t="s">
        <v>1605</v>
      </c>
      <c r="B114" s="2" t="s">
        <v>1606</v>
      </c>
      <c r="C114" s="2" t="s">
        <v>61</v>
      </c>
      <c r="D114" s="27">
        <v>45952</v>
      </c>
      <c r="E114" s="2"/>
      <c r="F114" s="2" t="s">
        <v>8</v>
      </c>
      <c r="G114" s="24" t="s">
        <v>590</v>
      </c>
    </row>
    <row r="115" spans="1:7" x14ac:dyDescent="0.2">
      <c r="A115" s="2" t="s">
        <v>1607</v>
      </c>
      <c r="B115" s="2" t="s">
        <v>1608</v>
      </c>
      <c r="C115" s="2" t="s">
        <v>61</v>
      </c>
      <c r="D115" s="27">
        <v>45951</v>
      </c>
      <c r="E115" s="2"/>
      <c r="F115" s="2" t="s">
        <v>8</v>
      </c>
      <c r="G115" s="24" t="s">
        <v>590</v>
      </c>
    </row>
    <row r="116" spans="1:7" x14ac:dyDescent="0.2">
      <c r="A116" s="2" t="s">
        <v>1609</v>
      </c>
      <c r="B116" s="2" t="s">
        <v>1610</v>
      </c>
      <c r="C116" s="2" t="s">
        <v>61</v>
      </c>
      <c r="D116" s="27">
        <v>45951</v>
      </c>
      <c r="E116" s="2"/>
      <c r="F116" s="2" t="s">
        <v>8</v>
      </c>
      <c r="G116" s="24" t="s">
        <v>590</v>
      </c>
    </row>
    <row r="117" spans="1:7" x14ac:dyDescent="0.2">
      <c r="A117" s="2" t="s">
        <v>1611</v>
      </c>
      <c r="B117" s="2" t="s">
        <v>1612</v>
      </c>
      <c r="C117" s="2" t="s">
        <v>61</v>
      </c>
      <c r="D117" s="27">
        <v>45946</v>
      </c>
      <c r="E117" s="2"/>
      <c r="F117" s="2" t="s">
        <v>8</v>
      </c>
      <c r="G117" s="24" t="s">
        <v>590</v>
      </c>
    </row>
    <row r="118" spans="1:7" x14ac:dyDescent="0.2">
      <c r="A118" s="2" t="s">
        <v>1613</v>
      </c>
      <c r="B118" s="2" t="s">
        <v>1614</v>
      </c>
      <c r="C118" s="2" t="s">
        <v>61</v>
      </c>
      <c r="D118" s="27">
        <v>45951</v>
      </c>
      <c r="E118" s="2"/>
      <c r="F118" s="2" t="s">
        <v>8</v>
      </c>
      <c r="G118" s="24" t="s">
        <v>590</v>
      </c>
    </row>
    <row r="119" spans="1:7" x14ac:dyDescent="0.2">
      <c r="A119" s="2" t="s">
        <v>1615</v>
      </c>
      <c r="B119" s="2" t="s">
        <v>1616</v>
      </c>
      <c r="C119" s="2" t="s">
        <v>61</v>
      </c>
      <c r="D119" s="27">
        <v>45945</v>
      </c>
      <c r="E119" s="2"/>
      <c r="F119" s="2" t="s">
        <v>8</v>
      </c>
      <c r="G119" s="24" t="s">
        <v>590</v>
      </c>
    </row>
    <row r="120" spans="1:7" x14ac:dyDescent="0.2">
      <c r="A120" s="2" t="s">
        <v>1617</v>
      </c>
      <c r="B120" s="2" t="s">
        <v>1618</v>
      </c>
      <c r="C120" s="2" t="s">
        <v>61</v>
      </c>
      <c r="D120" s="27">
        <v>45959</v>
      </c>
      <c r="E120" s="2"/>
      <c r="F120" s="2" t="s">
        <v>8</v>
      </c>
      <c r="G120" s="24" t="s">
        <v>590</v>
      </c>
    </row>
    <row r="121" spans="1:7" x14ac:dyDescent="0.2">
      <c r="A121" s="2" t="s">
        <v>1619</v>
      </c>
      <c r="B121" s="2" t="s">
        <v>1620</v>
      </c>
      <c r="C121" s="2" t="s">
        <v>61</v>
      </c>
      <c r="D121" s="27">
        <v>45943</v>
      </c>
      <c r="E121" s="2"/>
      <c r="F121" s="2" t="s">
        <v>8</v>
      </c>
      <c r="G121" s="24" t="s">
        <v>590</v>
      </c>
    </row>
    <row r="122" spans="1:7" x14ac:dyDescent="0.2">
      <c r="A122" s="2" t="s">
        <v>1621</v>
      </c>
      <c r="B122" s="2" t="s">
        <v>1622</v>
      </c>
      <c r="C122" s="2" t="s">
        <v>61</v>
      </c>
      <c r="D122" s="27">
        <v>45943</v>
      </c>
      <c r="E122" s="2"/>
      <c r="F122" s="2" t="s">
        <v>8</v>
      </c>
      <c r="G122" s="24" t="s">
        <v>3895</v>
      </c>
    </row>
    <row r="123" spans="1:7" x14ac:dyDescent="0.2">
      <c r="A123" s="2" t="s">
        <v>1623</v>
      </c>
      <c r="B123" s="2" t="s">
        <v>1624</v>
      </c>
      <c r="C123" s="2" t="s">
        <v>61</v>
      </c>
      <c r="D123" s="27">
        <v>45943</v>
      </c>
      <c r="E123" s="2"/>
      <c r="F123" s="2" t="s">
        <v>8</v>
      </c>
      <c r="G123" s="24" t="s">
        <v>1368</v>
      </c>
    </row>
    <row r="124" spans="1:7" x14ac:dyDescent="0.2">
      <c r="A124" s="2" t="s">
        <v>1625</v>
      </c>
      <c r="B124" s="2" t="s">
        <v>1626</v>
      </c>
      <c r="C124" s="2" t="s">
        <v>61</v>
      </c>
      <c r="D124" s="27">
        <v>45945</v>
      </c>
      <c r="E124" s="2"/>
      <c r="F124" s="2" t="s">
        <v>8</v>
      </c>
      <c r="G124" s="24" t="s">
        <v>3895</v>
      </c>
    </row>
    <row r="125" spans="1:7" x14ac:dyDescent="0.2">
      <c r="A125" s="2" t="s">
        <v>1627</v>
      </c>
      <c r="B125" s="2" t="s">
        <v>1628</v>
      </c>
      <c r="C125" s="2" t="s">
        <v>61</v>
      </c>
      <c r="D125" s="27">
        <v>45945</v>
      </c>
      <c r="E125" s="2"/>
      <c r="F125" s="2" t="s">
        <v>8</v>
      </c>
      <c r="G125" s="24" t="s">
        <v>3895</v>
      </c>
    </row>
    <row r="126" spans="1:7" x14ac:dyDescent="0.2">
      <c r="A126" s="2" t="s">
        <v>1629</v>
      </c>
      <c r="B126" s="2" t="s">
        <v>1630</v>
      </c>
      <c r="C126" s="2" t="s">
        <v>61</v>
      </c>
      <c r="D126" s="27">
        <v>45946</v>
      </c>
      <c r="E126" s="2"/>
      <c r="F126" s="2" t="s">
        <v>8</v>
      </c>
      <c r="G126" s="24" t="s">
        <v>3896</v>
      </c>
    </row>
    <row r="127" spans="1:7" x14ac:dyDescent="0.2">
      <c r="A127" s="2" t="s">
        <v>1631</v>
      </c>
      <c r="B127" s="2" t="s">
        <v>1632</v>
      </c>
      <c r="C127" s="2" t="s">
        <v>61</v>
      </c>
      <c r="D127" s="27">
        <v>45946</v>
      </c>
      <c r="E127" s="2"/>
      <c r="F127" s="2" t="s">
        <v>8</v>
      </c>
      <c r="G127" s="24" t="s">
        <v>3896</v>
      </c>
    </row>
    <row r="128" spans="1:7" x14ac:dyDescent="0.2">
      <c r="A128" s="2" t="s">
        <v>1633</v>
      </c>
      <c r="B128" s="2" t="s">
        <v>1634</v>
      </c>
      <c r="C128" s="2" t="s">
        <v>61</v>
      </c>
      <c r="D128" s="27">
        <v>45937</v>
      </c>
      <c r="E128" s="2"/>
      <c r="F128" s="2" t="s">
        <v>8</v>
      </c>
      <c r="G128" s="24" t="s">
        <v>3896</v>
      </c>
    </row>
    <row r="129" spans="1:7" x14ac:dyDescent="0.2">
      <c r="A129" s="2" t="s">
        <v>1635</v>
      </c>
      <c r="B129" s="2" t="s">
        <v>1636</v>
      </c>
      <c r="C129" s="2" t="s">
        <v>61</v>
      </c>
      <c r="D129" s="27">
        <v>45939</v>
      </c>
      <c r="E129" s="2"/>
      <c r="F129" s="2" t="s">
        <v>8</v>
      </c>
      <c r="G129" s="24" t="s">
        <v>3896</v>
      </c>
    </row>
    <row r="130" spans="1:7" x14ac:dyDescent="0.2">
      <c r="A130" s="2" t="s">
        <v>1637</v>
      </c>
      <c r="B130" s="2" t="s">
        <v>1638</v>
      </c>
      <c r="C130" s="2" t="s">
        <v>61</v>
      </c>
      <c r="D130" s="27">
        <v>45952</v>
      </c>
      <c r="E130" s="2"/>
      <c r="F130" s="2" t="s">
        <v>8</v>
      </c>
      <c r="G130" s="24" t="s">
        <v>3896</v>
      </c>
    </row>
    <row r="131" spans="1:7" x14ac:dyDescent="0.2">
      <c r="A131" s="2" t="s">
        <v>1639</v>
      </c>
      <c r="B131" s="2" t="s">
        <v>1640</v>
      </c>
      <c r="C131" s="2" t="s">
        <v>61</v>
      </c>
      <c r="D131" s="27">
        <v>45957</v>
      </c>
      <c r="E131" s="2"/>
      <c r="F131" s="2" t="s">
        <v>8</v>
      </c>
      <c r="G131" s="24" t="s">
        <v>590</v>
      </c>
    </row>
    <row r="132" spans="1:7" x14ac:dyDescent="0.2">
      <c r="A132" s="2" t="s">
        <v>1641</v>
      </c>
      <c r="B132" s="2" t="s">
        <v>1642</v>
      </c>
      <c r="C132" s="2" t="s">
        <v>61</v>
      </c>
      <c r="D132" s="27">
        <v>45944</v>
      </c>
      <c r="E132" s="2"/>
      <c r="F132" s="2" t="s">
        <v>8</v>
      </c>
      <c r="G132" s="24" t="s">
        <v>3896</v>
      </c>
    </row>
    <row r="133" spans="1:7" x14ac:dyDescent="0.2">
      <c r="A133" s="2" t="s">
        <v>1643</v>
      </c>
      <c r="B133" s="2" t="s">
        <v>1644</v>
      </c>
      <c r="C133" s="2" t="s">
        <v>61</v>
      </c>
      <c r="D133" s="27">
        <v>45944</v>
      </c>
      <c r="E133" s="2"/>
      <c r="F133" s="2" t="s">
        <v>8</v>
      </c>
      <c r="G133" s="24" t="s">
        <v>3896</v>
      </c>
    </row>
    <row r="134" spans="1:7" x14ac:dyDescent="0.2">
      <c r="A134" s="2" t="s">
        <v>1645</v>
      </c>
      <c r="B134" s="2" t="s">
        <v>1646</v>
      </c>
      <c r="C134" s="2" t="s">
        <v>61</v>
      </c>
      <c r="D134" s="27">
        <v>45957</v>
      </c>
      <c r="E134" s="2"/>
      <c r="F134" s="2" t="s">
        <v>8</v>
      </c>
      <c r="G134" s="24" t="s">
        <v>3896</v>
      </c>
    </row>
    <row r="135" spans="1:7" x14ac:dyDescent="0.2">
      <c r="A135" s="2" t="s">
        <v>1647</v>
      </c>
      <c r="B135" s="2" t="s">
        <v>1648</v>
      </c>
      <c r="C135" s="2" t="s">
        <v>61</v>
      </c>
      <c r="D135" s="27">
        <v>45950</v>
      </c>
      <c r="E135" s="2"/>
      <c r="F135" s="2" t="s">
        <v>8</v>
      </c>
      <c r="G135" s="24" t="s">
        <v>3896</v>
      </c>
    </row>
    <row r="136" spans="1:7" x14ac:dyDescent="0.2">
      <c r="A136" s="2" t="s">
        <v>1649</v>
      </c>
      <c r="B136" s="2" t="s">
        <v>1650</v>
      </c>
      <c r="C136" s="2" t="s">
        <v>61</v>
      </c>
      <c r="D136" s="27">
        <v>45938</v>
      </c>
      <c r="E136" s="2"/>
      <c r="F136" s="2" t="s">
        <v>8</v>
      </c>
      <c r="G136" s="24" t="s">
        <v>3896</v>
      </c>
    </row>
    <row r="137" spans="1:7" x14ac:dyDescent="0.2">
      <c r="A137" s="2" t="s">
        <v>1651</v>
      </c>
      <c r="B137" s="2" t="s">
        <v>1652</v>
      </c>
      <c r="C137" s="2" t="s">
        <v>61</v>
      </c>
      <c r="D137" s="27">
        <v>45950</v>
      </c>
      <c r="E137" s="2"/>
      <c r="F137" s="2" t="s">
        <v>8</v>
      </c>
      <c r="G137" s="24" t="s">
        <v>3896</v>
      </c>
    </row>
    <row r="138" spans="1:7" x14ac:dyDescent="0.2">
      <c r="A138" s="2" t="s">
        <v>1653</v>
      </c>
      <c r="B138" s="2" t="s">
        <v>1654</v>
      </c>
      <c r="C138" s="2" t="s">
        <v>61</v>
      </c>
      <c r="D138" s="27">
        <v>45943</v>
      </c>
      <c r="E138" s="2"/>
      <c r="F138" s="2" t="s">
        <v>8</v>
      </c>
      <c r="G138" s="24" t="s">
        <v>3896</v>
      </c>
    </row>
    <row r="139" spans="1:7" x14ac:dyDescent="0.2">
      <c r="A139" s="2" t="s">
        <v>1655</v>
      </c>
      <c r="B139" s="2" t="s">
        <v>1656</v>
      </c>
      <c r="C139" s="2" t="s">
        <v>61</v>
      </c>
      <c r="D139" s="27">
        <v>45952</v>
      </c>
      <c r="E139" s="2"/>
      <c r="F139" s="2" t="s">
        <v>8</v>
      </c>
      <c r="G139" s="24" t="s">
        <v>3896</v>
      </c>
    </row>
    <row r="140" spans="1:7" x14ac:dyDescent="0.2">
      <c r="A140" s="2" t="s">
        <v>1657</v>
      </c>
      <c r="B140" s="2" t="s">
        <v>1658</v>
      </c>
      <c r="C140" s="2" t="s">
        <v>61</v>
      </c>
      <c r="D140" s="27">
        <v>45937</v>
      </c>
      <c r="E140" s="2"/>
      <c r="F140" s="2" t="s">
        <v>8</v>
      </c>
      <c r="G140" s="24" t="s">
        <v>3896</v>
      </c>
    </row>
    <row r="141" spans="1:7" x14ac:dyDescent="0.2">
      <c r="A141" s="2" t="s">
        <v>1659</v>
      </c>
      <c r="B141" s="2" t="s">
        <v>1660</v>
      </c>
      <c r="C141" s="2" t="s">
        <v>61</v>
      </c>
      <c r="D141" s="27">
        <v>45957</v>
      </c>
      <c r="E141" s="2"/>
      <c r="F141" s="2" t="s">
        <v>8</v>
      </c>
      <c r="G141" s="24" t="s">
        <v>3896</v>
      </c>
    </row>
    <row r="142" spans="1:7" x14ac:dyDescent="0.2">
      <c r="A142" s="2" t="s">
        <v>1661</v>
      </c>
      <c r="B142" s="2" t="s">
        <v>1662</v>
      </c>
      <c r="C142" s="2" t="s">
        <v>61</v>
      </c>
      <c r="D142" s="27">
        <v>45951</v>
      </c>
      <c r="E142" s="2"/>
      <c r="F142" s="2" t="s">
        <v>8</v>
      </c>
      <c r="G142" s="24" t="s">
        <v>3896</v>
      </c>
    </row>
    <row r="143" spans="1:7" x14ac:dyDescent="0.2">
      <c r="A143" s="2" t="s">
        <v>1663</v>
      </c>
      <c r="B143" s="2" t="s">
        <v>1664</v>
      </c>
      <c r="C143" s="2" t="s">
        <v>61</v>
      </c>
      <c r="D143" s="27">
        <v>45952</v>
      </c>
      <c r="E143" s="2"/>
      <c r="F143" s="2" t="s">
        <v>8</v>
      </c>
      <c r="G143" s="24" t="s">
        <v>3896</v>
      </c>
    </row>
    <row r="144" spans="1:7" x14ac:dyDescent="0.2">
      <c r="A144" s="2" t="s">
        <v>1665</v>
      </c>
      <c r="B144" s="2" t="s">
        <v>1666</v>
      </c>
      <c r="C144" s="2" t="s">
        <v>61</v>
      </c>
      <c r="D144" s="27">
        <v>45943</v>
      </c>
      <c r="E144" s="2"/>
      <c r="F144" s="2" t="s">
        <v>8</v>
      </c>
      <c r="G144" s="24" t="s">
        <v>3896</v>
      </c>
    </row>
    <row r="145" spans="1:7" x14ac:dyDescent="0.2">
      <c r="A145" s="2" t="s">
        <v>1667</v>
      </c>
      <c r="B145" s="2" t="s">
        <v>1668</v>
      </c>
      <c r="C145" s="2" t="s">
        <v>61</v>
      </c>
      <c r="D145" s="27">
        <v>45957</v>
      </c>
      <c r="E145" s="2"/>
      <c r="F145" s="2" t="s">
        <v>8</v>
      </c>
      <c r="G145" s="24" t="s">
        <v>3896</v>
      </c>
    </row>
    <row r="146" spans="1:7" x14ac:dyDescent="0.2">
      <c r="A146" s="2" t="s">
        <v>1669</v>
      </c>
      <c r="B146" s="2" t="s">
        <v>1670</v>
      </c>
      <c r="C146" s="2" t="s">
        <v>61</v>
      </c>
      <c r="D146" s="27">
        <v>45957</v>
      </c>
      <c r="E146" s="2"/>
      <c r="F146" s="2" t="s">
        <v>8</v>
      </c>
      <c r="G146" s="24" t="s">
        <v>3896</v>
      </c>
    </row>
    <row r="147" spans="1:7" x14ac:dyDescent="0.2">
      <c r="A147" s="2" t="s">
        <v>1671</v>
      </c>
      <c r="B147" s="2" t="s">
        <v>1672</v>
      </c>
      <c r="C147" s="2" t="s">
        <v>61</v>
      </c>
      <c r="D147" s="27">
        <v>45943</v>
      </c>
      <c r="E147" s="2"/>
      <c r="F147" s="2" t="s">
        <v>8</v>
      </c>
      <c r="G147" s="24" t="s">
        <v>3896</v>
      </c>
    </row>
    <row r="148" spans="1:7" x14ac:dyDescent="0.2">
      <c r="A148" s="2" t="s">
        <v>1673</v>
      </c>
      <c r="B148" s="2" t="s">
        <v>1674</v>
      </c>
      <c r="C148" s="2" t="s">
        <v>61</v>
      </c>
      <c r="D148" s="27">
        <v>45950</v>
      </c>
      <c r="E148" s="2"/>
      <c r="F148" s="2" t="s">
        <v>8</v>
      </c>
      <c r="G148" s="24" t="s">
        <v>590</v>
      </c>
    </row>
    <row r="149" spans="1:7" x14ac:dyDescent="0.2">
      <c r="A149" s="2" t="s">
        <v>1675</v>
      </c>
      <c r="B149" s="2" t="s">
        <v>1676</v>
      </c>
      <c r="C149" s="2" t="s">
        <v>61</v>
      </c>
      <c r="D149" s="27">
        <v>45944</v>
      </c>
      <c r="E149" s="2"/>
      <c r="F149" s="2" t="s">
        <v>8</v>
      </c>
      <c r="G149" s="24" t="s">
        <v>3896</v>
      </c>
    </row>
    <row r="150" spans="1:7" x14ac:dyDescent="0.2">
      <c r="A150" s="2" t="s">
        <v>1677</v>
      </c>
      <c r="B150" s="2" t="s">
        <v>1678</v>
      </c>
      <c r="C150" s="2" t="s">
        <v>61</v>
      </c>
      <c r="D150" s="27">
        <v>45943</v>
      </c>
      <c r="E150" s="2"/>
      <c r="F150" s="2" t="s">
        <v>8</v>
      </c>
      <c r="G150" s="24" t="s">
        <v>3896</v>
      </c>
    </row>
    <row r="151" spans="1:7" x14ac:dyDescent="0.2">
      <c r="A151" s="2" t="s">
        <v>1679</v>
      </c>
      <c r="B151" s="2" t="s">
        <v>1680</v>
      </c>
      <c r="C151" s="2" t="s">
        <v>61</v>
      </c>
      <c r="D151" s="27">
        <v>45946</v>
      </c>
      <c r="E151" s="2"/>
      <c r="F151" s="2" t="s">
        <v>8</v>
      </c>
      <c r="G151" s="24" t="s">
        <v>3896</v>
      </c>
    </row>
    <row r="152" spans="1:7" x14ac:dyDescent="0.2">
      <c r="A152" s="2" t="s">
        <v>1681</v>
      </c>
      <c r="B152" s="2" t="s">
        <v>1682</v>
      </c>
      <c r="C152" s="2" t="s">
        <v>61</v>
      </c>
      <c r="D152" s="27">
        <v>45937</v>
      </c>
      <c r="E152" s="2"/>
      <c r="F152" s="2" t="s">
        <v>8</v>
      </c>
      <c r="G152" s="24" t="s">
        <v>3896</v>
      </c>
    </row>
    <row r="153" spans="1:7" x14ac:dyDescent="0.2">
      <c r="A153" s="2" t="s">
        <v>1683</v>
      </c>
      <c r="B153" s="2" t="s">
        <v>1684</v>
      </c>
      <c r="C153" s="2" t="s">
        <v>61</v>
      </c>
      <c r="D153" s="27">
        <v>45946</v>
      </c>
      <c r="E153" s="2"/>
      <c r="F153" s="2" t="s">
        <v>8</v>
      </c>
      <c r="G153" s="24" t="s">
        <v>3896</v>
      </c>
    </row>
    <row r="154" spans="1:7" x14ac:dyDescent="0.2">
      <c r="A154" s="2" t="s">
        <v>1685</v>
      </c>
      <c r="B154" s="2" t="s">
        <v>1686</v>
      </c>
      <c r="C154" s="2" t="s">
        <v>61</v>
      </c>
      <c r="D154" s="27">
        <v>45951</v>
      </c>
      <c r="E154" s="2"/>
      <c r="F154" s="2" t="s">
        <v>8</v>
      </c>
      <c r="G154" s="24" t="s">
        <v>3896</v>
      </c>
    </row>
    <row r="155" spans="1:7" x14ac:dyDescent="0.2">
      <c r="A155" s="2" t="s">
        <v>1687</v>
      </c>
      <c r="B155" s="2" t="s">
        <v>1688</v>
      </c>
      <c r="C155" s="2" t="s">
        <v>61</v>
      </c>
      <c r="D155" s="27">
        <v>45937</v>
      </c>
      <c r="E155" s="2"/>
      <c r="F155" s="2" t="s">
        <v>8</v>
      </c>
      <c r="G155" s="24" t="s">
        <v>1365</v>
      </c>
    </row>
    <row r="156" spans="1:7" x14ac:dyDescent="0.2">
      <c r="A156" s="2" t="s">
        <v>1689</v>
      </c>
      <c r="B156" s="2" t="s">
        <v>1690</v>
      </c>
      <c r="C156" s="2" t="s">
        <v>61</v>
      </c>
      <c r="D156" s="27">
        <v>45955</v>
      </c>
      <c r="E156" s="2"/>
      <c r="F156" s="2" t="s">
        <v>8</v>
      </c>
      <c r="G156" s="24" t="s">
        <v>1365</v>
      </c>
    </row>
    <row r="157" spans="1:7" x14ac:dyDescent="0.2">
      <c r="A157" s="2" t="s">
        <v>1691</v>
      </c>
      <c r="B157" s="2" t="s">
        <v>1692</v>
      </c>
      <c r="C157" s="2" t="s">
        <v>61</v>
      </c>
      <c r="D157" s="27">
        <v>45939</v>
      </c>
      <c r="E157" s="2"/>
      <c r="F157" s="2" t="s">
        <v>8</v>
      </c>
      <c r="G157" s="24" t="s">
        <v>1365</v>
      </c>
    </row>
    <row r="158" spans="1:7" x14ac:dyDescent="0.2">
      <c r="A158" s="2" t="s">
        <v>1693</v>
      </c>
      <c r="B158" s="2" t="s">
        <v>1694</v>
      </c>
      <c r="C158" s="2" t="s">
        <v>61</v>
      </c>
      <c r="D158" s="27">
        <v>45938</v>
      </c>
      <c r="E158" s="2"/>
      <c r="F158" s="2" t="s">
        <v>8</v>
      </c>
      <c r="G158" s="24" t="s">
        <v>1365</v>
      </c>
    </row>
    <row r="159" spans="1:7" x14ac:dyDescent="0.2">
      <c r="A159" s="2" t="s">
        <v>1695</v>
      </c>
      <c r="B159" s="2" t="s">
        <v>1696</v>
      </c>
      <c r="C159" s="2" t="s">
        <v>61</v>
      </c>
      <c r="D159" s="27">
        <v>45932</v>
      </c>
      <c r="E159" s="2"/>
      <c r="F159" s="2" t="s">
        <v>8</v>
      </c>
      <c r="G159" s="24" t="s">
        <v>1365</v>
      </c>
    </row>
    <row r="160" spans="1:7" x14ac:dyDescent="0.2">
      <c r="A160" s="2" t="s">
        <v>1697</v>
      </c>
      <c r="B160" s="2" t="s">
        <v>1698</v>
      </c>
      <c r="C160" s="2" t="s">
        <v>61</v>
      </c>
      <c r="D160" s="27">
        <v>45952</v>
      </c>
      <c r="E160" s="2"/>
      <c r="F160" s="2" t="s">
        <v>8</v>
      </c>
      <c r="G160" s="24" t="s">
        <v>1365</v>
      </c>
    </row>
    <row r="161" spans="1:7" x14ac:dyDescent="0.2">
      <c r="A161" s="2" t="s">
        <v>1699</v>
      </c>
      <c r="B161" s="2" t="s">
        <v>1700</v>
      </c>
      <c r="C161" s="2" t="s">
        <v>61</v>
      </c>
      <c r="D161" s="27">
        <v>45953</v>
      </c>
      <c r="E161" s="2"/>
      <c r="F161" s="2" t="s">
        <v>8</v>
      </c>
      <c r="G161" s="24" t="s">
        <v>1365</v>
      </c>
    </row>
    <row r="162" spans="1:7" x14ac:dyDescent="0.2">
      <c r="A162" s="2" t="s">
        <v>1701</v>
      </c>
      <c r="B162" s="2" t="s">
        <v>1702</v>
      </c>
      <c r="C162" s="2" t="s">
        <v>61</v>
      </c>
      <c r="D162" s="27">
        <v>45952</v>
      </c>
      <c r="E162" s="2"/>
      <c r="F162" s="2" t="s">
        <v>8</v>
      </c>
      <c r="G162" s="24" t="s">
        <v>1365</v>
      </c>
    </row>
    <row r="163" spans="1:7" x14ac:dyDescent="0.2">
      <c r="A163" s="2" t="s">
        <v>1703</v>
      </c>
      <c r="B163" s="2" t="s">
        <v>1704</v>
      </c>
      <c r="C163" s="2" t="s">
        <v>61</v>
      </c>
      <c r="D163" s="27">
        <v>45948</v>
      </c>
      <c r="E163" s="2"/>
      <c r="F163" s="2" t="s">
        <v>8</v>
      </c>
      <c r="G163" s="24" t="s">
        <v>1365</v>
      </c>
    </row>
    <row r="164" spans="1:7" x14ac:dyDescent="0.2">
      <c r="A164" s="2" t="s">
        <v>1705</v>
      </c>
      <c r="B164" s="2" t="s">
        <v>1706</v>
      </c>
      <c r="C164" s="2" t="s">
        <v>61</v>
      </c>
      <c r="D164" s="27">
        <v>45950</v>
      </c>
      <c r="E164" s="2"/>
      <c r="F164" s="2" t="s">
        <v>8</v>
      </c>
      <c r="G164" s="24" t="s">
        <v>1365</v>
      </c>
    </row>
    <row r="165" spans="1:7" x14ac:dyDescent="0.2">
      <c r="A165" s="2" t="s">
        <v>1707</v>
      </c>
      <c r="B165" s="2" t="s">
        <v>1708</v>
      </c>
      <c r="C165" s="2" t="s">
        <v>61</v>
      </c>
      <c r="D165" s="27">
        <v>45950</v>
      </c>
      <c r="E165" s="2"/>
      <c r="F165" s="2" t="s">
        <v>8</v>
      </c>
      <c r="G165" s="24" t="s">
        <v>1365</v>
      </c>
    </row>
    <row r="166" spans="1:7" x14ac:dyDescent="0.2">
      <c r="A166" s="2" t="s">
        <v>1709</v>
      </c>
      <c r="B166" s="2" t="s">
        <v>1710</v>
      </c>
      <c r="C166" s="2" t="s">
        <v>61</v>
      </c>
      <c r="D166" s="27">
        <v>45957</v>
      </c>
      <c r="E166" s="2"/>
      <c r="F166" s="2" t="s">
        <v>8</v>
      </c>
      <c r="G166" s="24" t="s">
        <v>1365</v>
      </c>
    </row>
    <row r="167" spans="1:7" x14ac:dyDescent="0.2">
      <c r="A167" s="2" t="s">
        <v>1711</v>
      </c>
      <c r="B167" s="2" t="s">
        <v>1712</v>
      </c>
      <c r="C167" s="2" t="s">
        <v>61</v>
      </c>
      <c r="D167" s="27">
        <v>45951</v>
      </c>
      <c r="E167" s="2"/>
      <c r="F167" s="2" t="s">
        <v>8</v>
      </c>
      <c r="G167" s="24" t="s">
        <v>1365</v>
      </c>
    </row>
    <row r="168" spans="1:7" x14ac:dyDescent="0.2">
      <c r="A168" s="2" t="s">
        <v>1713</v>
      </c>
      <c r="B168" s="2" t="s">
        <v>1714</v>
      </c>
      <c r="C168" s="2" t="s">
        <v>61</v>
      </c>
      <c r="D168" s="27">
        <v>45940</v>
      </c>
      <c r="E168" s="2"/>
      <c r="F168" s="2" t="s">
        <v>8</v>
      </c>
      <c r="G168" s="24" t="s">
        <v>1365</v>
      </c>
    </row>
    <row r="169" spans="1:7" x14ac:dyDescent="0.2">
      <c r="A169" s="2" t="s">
        <v>1715</v>
      </c>
      <c r="B169" s="2" t="s">
        <v>1716</v>
      </c>
      <c r="C169" s="2" t="s">
        <v>61</v>
      </c>
      <c r="D169" s="27">
        <v>45940</v>
      </c>
      <c r="E169" s="2"/>
      <c r="F169" s="2" t="s">
        <v>8</v>
      </c>
      <c r="G169" s="24" t="s">
        <v>59</v>
      </c>
    </row>
    <row r="170" spans="1:7" x14ac:dyDescent="0.2">
      <c r="A170" s="2" t="s">
        <v>1717</v>
      </c>
      <c r="B170" s="2" t="s">
        <v>1718</v>
      </c>
      <c r="C170" s="2" t="s">
        <v>61</v>
      </c>
      <c r="D170" s="27">
        <v>45959</v>
      </c>
      <c r="E170" s="2"/>
      <c r="F170" s="2" t="s">
        <v>8</v>
      </c>
      <c r="G170" s="24" t="s">
        <v>1365</v>
      </c>
    </row>
    <row r="171" spans="1:7" x14ac:dyDescent="0.2">
      <c r="A171" s="2" t="s">
        <v>1719</v>
      </c>
      <c r="B171" s="2" t="s">
        <v>1720</v>
      </c>
      <c r="C171" s="2" t="s">
        <v>61</v>
      </c>
      <c r="D171" s="27">
        <v>45958</v>
      </c>
      <c r="E171" s="2"/>
      <c r="F171" s="2" t="s">
        <v>8</v>
      </c>
      <c r="G171" s="24" t="s">
        <v>1365</v>
      </c>
    </row>
    <row r="172" spans="1:7" x14ac:dyDescent="0.2">
      <c r="A172" s="2" t="s">
        <v>1721</v>
      </c>
      <c r="B172" s="2" t="s">
        <v>1722</v>
      </c>
      <c r="C172" s="2" t="s">
        <v>61</v>
      </c>
      <c r="D172" s="27">
        <v>45947</v>
      </c>
      <c r="E172" s="2"/>
      <c r="F172" s="2" t="s">
        <v>8</v>
      </c>
      <c r="G172" s="24" t="s">
        <v>1365</v>
      </c>
    </row>
    <row r="173" spans="1:7" x14ac:dyDescent="0.2">
      <c r="A173" s="2" t="s">
        <v>1723</v>
      </c>
      <c r="B173" s="2" t="s">
        <v>1724</v>
      </c>
      <c r="C173" s="2" t="s">
        <v>61</v>
      </c>
      <c r="D173" s="27">
        <v>45952</v>
      </c>
      <c r="E173" s="2"/>
      <c r="F173" s="2" t="s">
        <v>8</v>
      </c>
      <c r="G173" s="24" t="s">
        <v>1365</v>
      </c>
    </row>
    <row r="174" spans="1:7" x14ac:dyDescent="0.2">
      <c r="A174" s="2" t="s">
        <v>1725</v>
      </c>
      <c r="B174" s="2" t="s">
        <v>1726</v>
      </c>
      <c r="C174" s="2" t="s">
        <v>61</v>
      </c>
      <c r="D174" s="27">
        <v>45958</v>
      </c>
      <c r="E174" s="2"/>
      <c r="F174" s="2" t="s">
        <v>8</v>
      </c>
      <c r="G174" s="24" t="s">
        <v>1365</v>
      </c>
    </row>
    <row r="175" spans="1:7" x14ac:dyDescent="0.2">
      <c r="A175" s="2" t="s">
        <v>1727</v>
      </c>
      <c r="B175" s="2" t="s">
        <v>1728</v>
      </c>
      <c r="C175" s="2" t="s">
        <v>61</v>
      </c>
      <c r="D175" s="27">
        <v>45957</v>
      </c>
      <c r="E175" s="2"/>
      <c r="F175" s="2" t="s">
        <v>8</v>
      </c>
      <c r="G175" s="24" t="s">
        <v>1365</v>
      </c>
    </row>
    <row r="176" spans="1:7" x14ac:dyDescent="0.2">
      <c r="A176" s="2" t="s">
        <v>1729</v>
      </c>
      <c r="B176" s="2" t="s">
        <v>1730</v>
      </c>
      <c r="C176" s="2" t="s">
        <v>61</v>
      </c>
      <c r="D176" s="27">
        <v>45961</v>
      </c>
      <c r="E176" s="2"/>
      <c r="F176" s="2" t="s">
        <v>8</v>
      </c>
      <c r="G176" s="24" t="s">
        <v>1365</v>
      </c>
    </row>
    <row r="177" spans="1:7" x14ac:dyDescent="0.2">
      <c r="A177" s="2" t="s">
        <v>1731</v>
      </c>
      <c r="B177" s="2" t="s">
        <v>1732</v>
      </c>
      <c r="C177" s="2" t="s">
        <v>61</v>
      </c>
      <c r="D177" s="27">
        <v>45950</v>
      </c>
      <c r="E177" s="2"/>
      <c r="F177" s="2" t="s">
        <v>8</v>
      </c>
      <c r="G177" s="24" t="s">
        <v>1365</v>
      </c>
    </row>
    <row r="178" spans="1:7" x14ac:dyDescent="0.2">
      <c r="A178" s="2" t="s">
        <v>1733</v>
      </c>
      <c r="B178" s="2" t="s">
        <v>1734</v>
      </c>
      <c r="C178" s="2" t="s">
        <v>61</v>
      </c>
      <c r="D178" s="27">
        <v>45949</v>
      </c>
      <c r="E178" s="2"/>
      <c r="F178" s="2" t="s">
        <v>8</v>
      </c>
      <c r="G178" s="24" t="s">
        <v>1365</v>
      </c>
    </row>
    <row r="179" spans="1:7" x14ac:dyDescent="0.2">
      <c r="A179" s="2" t="s">
        <v>1735</v>
      </c>
      <c r="B179" s="2" t="s">
        <v>1736</v>
      </c>
      <c r="C179" s="2" t="s">
        <v>61</v>
      </c>
      <c r="D179" s="27">
        <v>45952</v>
      </c>
      <c r="E179" s="2"/>
      <c r="F179" s="2" t="s">
        <v>8</v>
      </c>
      <c r="G179" s="24" t="s">
        <v>1365</v>
      </c>
    </row>
    <row r="180" spans="1:7" x14ac:dyDescent="0.2">
      <c r="A180" s="2" t="s">
        <v>1737</v>
      </c>
      <c r="B180" s="2" t="s">
        <v>1738</v>
      </c>
      <c r="C180" s="2" t="s">
        <v>61</v>
      </c>
      <c r="D180" s="27">
        <v>45931</v>
      </c>
      <c r="E180" s="2"/>
      <c r="F180" s="2" t="s">
        <v>8</v>
      </c>
      <c r="G180" s="24" t="s">
        <v>1365</v>
      </c>
    </row>
    <row r="181" spans="1:7" x14ac:dyDescent="0.2">
      <c r="A181" s="2" t="s">
        <v>1739</v>
      </c>
      <c r="B181" s="2" t="s">
        <v>1740</v>
      </c>
      <c r="C181" s="2" t="s">
        <v>61</v>
      </c>
      <c r="D181" s="27">
        <v>45960</v>
      </c>
      <c r="E181" s="2"/>
      <c r="F181" s="2" t="s">
        <v>8</v>
      </c>
      <c r="G181" s="24" t="s">
        <v>1365</v>
      </c>
    </row>
    <row r="182" spans="1:7" x14ac:dyDescent="0.2">
      <c r="A182" s="2" t="s">
        <v>1741</v>
      </c>
      <c r="B182" s="2" t="s">
        <v>1742</v>
      </c>
      <c r="C182" s="2" t="s">
        <v>61</v>
      </c>
      <c r="D182" s="27">
        <v>45945</v>
      </c>
      <c r="E182" s="2"/>
      <c r="F182" s="2" t="s">
        <v>8</v>
      </c>
      <c r="G182" s="24" t="s">
        <v>1365</v>
      </c>
    </row>
    <row r="183" spans="1:7" x14ac:dyDescent="0.2">
      <c r="A183" s="2" t="s">
        <v>1743</v>
      </c>
      <c r="B183" s="2" t="s">
        <v>1744</v>
      </c>
      <c r="C183" s="2" t="s">
        <v>61</v>
      </c>
      <c r="D183" s="27">
        <v>45947</v>
      </c>
      <c r="E183" s="2"/>
      <c r="F183" s="2" t="s">
        <v>8</v>
      </c>
      <c r="G183" s="24" t="s">
        <v>1365</v>
      </c>
    </row>
    <row r="184" spans="1:7" x14ac:dyDescent="0.2">
      <c r="A184" s="2" t="s">
        <v>1745</v>
      </c>
      <c r="B184" s="2" t="s">
        <v>1746</v>
      </c>
      <c r="C184" s="2" t="s">
        <v>61</v>
      </c>
      <c r="D184" s="27">
        <v>45945</v>
      </c>
      <c r="E184" s="2"/>
      <c r="F184" s="2" t="s">
        <v>8</v>
      </c>
      <c r="G184" s="24" t="s">
        <v>1365</v>
      </c>
    </row>
    <row r="185" spans="1:7" x14ac:dyDescent="0.2">
      <c r="A185" s="2" t="s">
        <v>1747</v>
      </c>
      <c r="B185" s="2" t="s">
        <v>1748</v>
      </c>
      <c r="C185" s="2" t="s">
        <v>61</v>
      </c>
      <c r="D185" s="27">
        <v>45957</v>
      </c>
      <c r="E185" s="2"/>
      <c r="F185" s="2" t="s">
        <v>8</v>
      </c>
      <c r="G185" s="24" t="s">
        <v>1365</v>
      </c>
    </row>
    <row r="186" spans="1:7" x14ac:dyDescent="0.2">
      <c r="A186" s="2" t="s">
        <v>1749</v>
      </c>
      <c r="B186" s="2" t="s">
        <v>1750</v>
      </c>
      <c r="C186" s="2" t="s">
        <v>61</v>
      </c>
      <c r="D186" s="27">
        <v>45957</v>
      </c>
      <c r="E186" s="2"/>
      <c r="F186" s="2" t="s">
        <v>8</v>
      </c>
      <c r="G186" s="24" t="s">
        <v>1365</v>
      </c>
    </row>
    <row r="187" spans="1:7" x14ac:dyDescent="0.2">
      <c r="A187" s="2" t="s">
        <v>1751</v>
      </c>
      <c r="B187" s="2" t="s">
        <v>1752</v>
      </c>
      <c r="C187" s="2" t="s">
        <v>61</v>
      </c>
      <c r="D187" s="27">
        <v>45946</v>
      </c>
      <c r="E187" s="2"/>
      <c r="F187" s="2" t="s">
        <v>8</v>
      </c>
      <c r="G187" s="24" t="s">
        <v>1365</v>
      </c>
    </row>
    <row r="188" spans="1:7" x14ac:dyDescent="0.2">
      <c r="A188" s="2" t="s">
        <v>1753</v>
      </c>
      <c r="B188" s="2" t="s">
        <v>1754</v>
      </c>
      <c r="C188" s="2" t="s">
        <v>61</v>
      </c>
      <c r="D188" s="27">
        <v>45952</v>
      </c>
      <c r="E188" s="2"/>
      <c r="F188" s="2" t="s">
        <v>8</v>
      </c>
      <c r="G188" s="24" t="s">
        <v>1365</v>
      </c>
    </row>
    <row r="189" spans="1:7" x14ac:dyDescent="0.2">
      <c r="A189" s="2" t="s">
        <v>1755</v>
      </c>
      <c r="B189" s="2" t="s">
        <v>1756</v>
      </c>
      <c r="C189" s="2" t="s">
        <v>61</v>
      </c>
      <c r="D189" s="27">
        <v>45958</v>
      </c>
      <c r="E189" s="2"/>
      <c r="F189" s="2" t="s">
        <v>8</v>
      </c>
      <c r="G189" s="24" t="s">
        <v>1365</v>
      </c>
    </row>
    <row r="190" spans="1:7" x14ac:dyDescent="0.2">
      <c r="A190" s="2" t="s">
        <v>1757</v>
      </c>
      <c r="B190" s="2" t="s">
        <v>1758</v>
      </c>
      <c r="C190" s="2" t="s">
        <v>61</v>
      </c>
      <c r="D190" s="27">
        <v>45954</v>
      </c>
      <c r="E190" s="2"/>
      <c r="F190" s="2" t="s">
        <v>8</v>
      </c>
      <c r="G190" s="24" t="s">
        <v>1365</v>
      </c>
    </row>
    <row r="191" spans="1:7" x14ac:dyDescent="0.2">
      <c r="A191" s="2" t="s">
        <v>1759</v>
      </c>
      <c r="B191" s="2" t="s">
        <v>1760</v>
      </c>
      <c r="C191" s="2" t="s">
        <v>61</v>
      </c>
      <c r="D191" s="27">
        <v>45959</v>
      </c>
      <c r="E191" s="2"/>
      <c r="F191" s="2" t="s">
        <v>8</v>
      </c>
      <c r="G191" s="24" t="s">
        <v>1365</v>
      </c>
    </row>
    <row r="192" spans="1:7" x14ac:dyDescent="0.2">
      <c r="A192" s="2" t="s">
        <v>1761</v>
      </c>
      <c r="B192" s="2" t="s">
        <v>1762</v>
      </c>
      <c r="C192" s="2" t="s">
        <v>61</v>
      </c>
      <c r="D192" s="27">
        <v>45951</v>
      </c>
      <c r="E192" s="2"/>
      <c r="F192" s="2" t="s">
        <v>8</v>
      </c>
      <c r="G192" s="24" t="s">
        <v>79</v>
      </c>
    </row>
    <row r="193" spans="1:7" x14ac:dyDescent="0.2">
      <c r="A193" s="2" t="s">
        <v>1763</v>
      </c>
      <c r="B193" s="2" t="s">
        <v>1764</v>
      </c>
      <c r="C193" s="2" t="s">
        <v>61</v>
      </c>
      <c r="D193" s="27">
        <v>45950</v>
      </c>
      <c r="E193" s="2"/>
      <c r="F193" s="2" t="s">
        <v>8</v>
      </c>
      <c r="G193" s="24" t="s">
        <v>1365</v>
      </c>
    </row>
    <row r="194" spans="1:7" x14ac:dyDescent="0.2">
      <c r="A194" s="2" t="s">
        <v>1765</v>
      </c>
      <c r="B194" s="2" t="s">
        <v>1766</v>
      </c>
      <c r="C194" s="2" t="s">
        <v>61</v>
      </c>
      <c r="D194" s="27">
        <v>45945</v>
      </c>
      <c r="E194" s="2"/>
      <c r="F194" s="2" t="s">
        <v>8</v>
      </c>
      <c r="G194" s="24" t="s">
        <v>1365</v>
      </c>
    </row>
    <row r="195" spans="1:7" x14ac:dyDescent="0.2">
      <c r="A195" s="2" t="s">
        <v>1767</v>
      </c>
      <c r="B195" s="2" t="s">
        <v>1768</v>
      </c>
      <c r="C195" s="2" t="s">
        <v>61</v>
      </c>
      <c r="D195" s="27">
        <v>45932</v>
      </c>
      <c r="E195" s="2"/>
      <c r="F195" s="2" t="s">
        <v>8</v>
      </c>
      <c r="G195" s="24" t="s">
        <v>1365</v>
      </c>
    </row>
    <row r="196" spans="1:7" x14ac:dyDescent="0.2">
      <c r="A196" s="2" t="s">
        <v>1769</v>
      </c>
      <c r="B196" s="2" t="s">
        <v>1770</v>
      </c>
      <c r="C196" s="2" t="s">
        <v>61</v>
      </c>
      <c r="D196" s="27">
        <v>45951</v>
      </c>
      <c r="E196" s="2"/>
      <c r="F196" s="2" t="s">
        <v>8</v>
      </c>
      <c r="G196" s="24" t="s">
        <v>1365</v>
      </c>
    </row>
    <row r="197" spans="1:7" x14ac:dyDescent="0.2">
      <c r="A197" s="2" t="s">
        <v>1771</v>
      </c>
      <c r="B197" s="2" t="s">
        <v>1772</v>
      </c>
      <c r="C197" s="2" t="s">
        <v>61</v>
      </c>
      <c r="D197" s="27">
        <v>45960</v>
      </c>
      <c r="E197" s="2"/>
      <c r="F197" s="2" t="s">
        <v>8</v>
      </c>
      <c r="G197" s="24" t="s">
        <v>1365</v>
      </c>
    </row>
    <row r="198" spans="1:7" x14ac:dyDescent="0.2">
      <c r="A198" s="2" t="s">
        <v>1773</v>
      </c>
      <c r="B198" s="2" t="s">
        <v>1774</v>
      </c>
      <c r="C198" s="2" t="s">
        <v>61</v>
      </c>
      <c r="D198" s="27">
        <v>45939</v>
      </c>
      <c r="E198" s="2"/>
      <c r="F198" s="2" t="s">
        <v>8</v>
      </c>
      <c r="G198" s="24" t="s">
        <v>1365</v>
      </c>
    </row>
    <row r="199" spans="1:7" x14ac:dyDescent="0.2">
      <c r="A199" s="2" t="s">
        <v>1775</v>
      </c>
      <c r="B199" s="2" t="s">
        <v>1776</v>
      </c>
      <c r="C199" s="2" t="s">
        <v>61</v>
      </c>
      <c r="D199" s="27">
        <v>45958</v>
      </c>
      <c r="E199" s="2"/>
      <c r="F199" s="2" t="s">
        <v>8</v>
      </c>
      <c r="G199" s="24" t="s">
        <v>1365</v>
      </c>
    </row>
    <row r="200" spans="1:7" x14ac:dyDescent="0.2">
      <c r="A200" s="2" t="s">
        <v>1777</v>
      </c>
      <c r="B200" s="2" t="s">
        <v>1778</v>
      </c>
      <c r="C200" s="2" t="s">
        <v>61</v>
      </c>
      <c r="D200" s="27">
        <v>45947</v>
      </c>
      <c r="E200" s="2"/>
      <c r="F200" s="2" t="s">
        <v>8</v>
      </c>
      <c r="G200" s="24" t="s">
        <v>1365</v>
      </c>
    </row>
    <row r="201" spans="1:7" x14ac:dyDescent="0.2">
      <c r="A201" s="2" t="s">
        <v>1779</v>
      </c>
      <c r="B201" s="2" t="s">
        <v>1780</v>
      </c>
      <c r="C201" s="2" t="s">
        <v>61</v>
      </c>
      <c r="D201" s="27">
        <v>45954</v>
      </c>
      <c r="E201" s="2"/>
      <c r="F201" s="2" t="s">
        <v>8</v>
      </c>
      <c r="G201" s="24" t="s">
        <v>1365</v>
      </c>
    </row>
    <row r="202" spans="1:7" x14ac:dyDescent="0.2">
      <c r="A202" s="2" t="s">
        <v>1781</v>
      </c>
      <c r="B202" s="2" t="s">
        <v>1782</v>
      </c>
      <c r="C202" s="2" t="s">
        <v>61</v>
      </c>
      <c r="D202" s="27">
        <v>45937</v>
      </c>
      <c r="E202" s="2"/>
      <c r="F202" s="2" t="s">
        <v>8</v>
      </c>
      <c r="G202" s="24" t="s">
        <v>1365</v>
      </c>
    </row>
    <row r="203" spans="1:7" x14ac:dyDescent="0.2">
      <c r="A203" s="2" t="s">
        <v>1783</v>
      </c>
      <c r="B203" s="2" t="s">
        <v>1784</v>
      </c>
      <c r="C203" s="2" t="s">
        <v>61</v>
      </c>
      <c r="D203" s="27">
        <v>45953</v>
      </c>
      <c r="E203" s="2"/>
      <c r="F203" s="2" t="s">
        <v>8</v>
      </c>
      <c r="G203" s="24" t="s">
        <v>1365</v>
      </c>
    </row>
    <row r="204" spans="1:7" x14ac:dyDescent="0.2">
      <c r="A204" s="2" t="s">
        <v>1785</v>
      </c>
      <c r="B204" s="2" t="s">
        <v>1786</v>
      </c>
      <c r="C204" s="2" t="s">
        <v>61</v>
      </c>
      <c r="D204" s="27">
        <v>45931</v>
      </c>
      <c r="E204" s="2"/>
      <c r="F204" s="2" t="s">
        <v>8</v>
      </c>
      <c r="G204" s="24" t="s">
        <v>1365</v>
      </c>
    </row>
    <row r="205" spans="1:7" x14ac:dyDescent="0.2">
      <c r="A205" s="2" t="s">
        <v>1787</v>
      </c>
      <c r="B205" s="2" t="s">
        <v>1788</v>
      </c>
      <c r="C205" s="2" t="s">
        <v>61</v>
      </c>
      <c r="D205" s="27">
        <v>45954</v>
      </c>
      <c r="E205" s="2"/>
      <c r="F205" s="2" t="s">
        <v>8</v>
      </c>
      <c r="G205" s="24" t="s">
        <v>1365</v>
      </c>
    </row>
    <row r="206" spans="1:7" x14ac:dyDescent="0.2">
      <c r="A206" s="2" t="s">
        <v>1789</v>
      </c>
      <c r="B206" s="2" t="s">
        <v>1790</v>
      </c>
      <c r="C206" s="2" t="s">
        <v>61</v>
      </c>
      <c r="D206" s="27">
        <v>45954</v>
      </c>
      <c r="E206" s="2"/>
      <c r="F206" s="2" t="s">
        <v>8</v>
      </c>
      <c r="G206" s="24" t="s">
        <v>1365</v>
      </c>
    </row>
    <row r="207" spans="1:7" x14ac:dyDescent="0.2">
      <c r="A207" s="2" t="s">
        <v>1791</v>
      </c>
      <c r="B207" s="2" t="s">
        <v>1792</v>
      </c>
      <c r="C207" s="2" t="s">
        <v>61</v>
      </c>
      <c r="D207" s="27">
        <v>45957</v>
      </c>
      <c r="E207" s="2"/>
      <c r="F207" s="2" t="s">
        <v>8</v>
      </c>
      <c r="G207" s="24" t="s">
        <v>1365</v>
      </c>
    </row>
    <row r="208" spans="1:7" x14ac:dyDescent="0.2">
      <c r="A208" s="2" t="s">
        <v>1793</v>
      </c>
      <c r="B208" s="2" t="s">
        <v>1794</v>
      </c>
      <c r="C208" s="2" t="s">
        <v>61</v>
      </c>
      <c r="D208" s="27">
        <v>45959</v>
      </c>
      <c r="E208" s="2"/>
      <c r="F208" s="2" t="s">
        <v>8</v>
      </c>
      <c r="G208" s="24" t="s">
        <v>1365</v>
      </c>
    </row>
    <row r="209" spans="1:7" x14ac:dyDescent="0.2">
      <c r="A209" s="2" t="s">
        <v>1795</v>
      </c>
      <c r="B209" s="2" t="s">
        <v>1796</v>
      </c>
      <c r="C209" s="2" t="s">
        <v>61</v>
      </c>
      <c r="D209" s="27">
        <v>45947</v>
      </c>
      <c r="E209" s="2"/>
      <c r="F209" s="2" t="s">
        <v>8</v>
      </c>
      <c r="G209" s="24" t="s">
        <v>1365</v>
      </c>
    </row>
    <row r="210" spans="1:7" x14ac:dyDescent="0.2">
      <c r="A210" s="2" t="s">
        <v>1797</v>
      </c>
      <c r="B210" s="2" t="s">
        <v>1798</v>
      </c>
      <c r="C210" s="2" t="s">
        <v>61</v>
      </c>
      <c r="D210" s="27">
        <v>45937</v>
      </c>
      <c r="E210" s="2"/>
      <c r="F210" s="2" t="s">
        <v>8</v>
      </c>
      <c r="G210" s="24" t="s">
        <v>1365</v>
      </c>
    </row>
    <row r="211" spans="1:7" x14ac:dyDescent="0.2">
      <c r="A211" s="2" t="s">
        <v>1799</v>
      </c>
      <c r="B211" s="2" t="s">
        <v>1800</v>
      </c>
      <c r="C211" s="2" t="s">
        <v>61</v>
      </c>
      <c r="D211" s="27">
        <v>45954</v>
      </c>
      <c r="E211" s="2"/>
      <c r="F211" s="2" t="s">
        <v>8</v>
      </c>
      <c r="G211" s="24" t="s">
        <v>1365</v>
      </c>
    </row>
    <row r="212" spans="1:7" x14ac:dyDescent="0.2">
      <c r="A212" s="2" t="s">
        <v>1801</v>
      </c>
      <c r="B212" s="2" t="s">
        <v>1802</v>
      </c>
      <c r="C212" s="2" t="s">
        <v>61</v>
      </c>
      <c r="D212" s="27">
        <v>45944</v>
      </c>
      <c r="E212" s="2"/>
      <c r="F212" s="2" t="s">
        <v>8</v>
      </c>
      <c r="G212" s="24" t="s">
        <v>1365</v>
      </c>
    </row>
    <row r="213" spans="1:7" x14ac:dyDescent="0.2">
      <c r="A213" s="2" t="s">
        <v>1803</v>
      </c>
      <c r="B213" s="2" t="s">
        <v>1804</v>
      </c>
      <c r="C213" s="2" t="s">
        <v>61</v>
      </c>
      <c r="D213" s="27">
        <v>45960</v>
      </c>
      <c r="E213" s="2"/>
      <c r="F213" s="2" t="s">
        <v>8</v>
      </c>
      <c r="G213" s="24" t="s">
        <v>1365</v>
      </c>
    </row>
    <row r="214" spans="1:7" x14ac:dyDescent="0.2">
      <c r="A214" s="2" t="s">
        <v>1805</v>
      </c>
      <c r="B214" s="2" t="s">
        <v>1806</v>
      </c>
      <c r="C214" s="2" t="s">
        <v>61</v>
      </c>
      <c r="D214" s="27">
        <v>45933</v>
      </c>
      <c r="E214" s="2"/>
      <c r="F214" s="2" t="s">
        <v>8</v>
      </c>
      <c r="G214" s="24" t="s">
        <v>1365</v>
      </c>
    </row>
    <row r="215" spans="1:7" x14ac:dyDescent="0.2">
      <c r="A215" s="2" t="s">
        <v>1807</v>
      </c>
      <c r="B215" s="2" t="s">
        <v>1808</v>
      </c>
      <c r="C215" s="2" t="s">
        <v>61</v>
      </c>
      <c r="D215" s="27">
        <v>45945</v>
      </c>
      <c r="E215" s="2"/>
      <c r="F215" s="2" t="s">
        <v>8</v>
      </c>
      <c r="G215" s="24" t="s">
        <v>1365</v>
      </c>
    </row>
    <row r="216" spans="1:7" x14ac:dyDescent="0.2">
      <c r="A216" s="2" t="s">
        <v>1809</v>
      </c>
      <c r="B216" s="2" t="s">
        <v>1810</v>
      </c>
      <c r="C216" s="2" t="s">
        <v>61</v>
      </c>
      <c r="D216" s="27">
        <v>45959</v>
      </c>
      <c r="E216" s="2"/>
      <c r="F216" s="2" t="s">
        <v>8</v>
      </c>
      <c r="G216" s="24" t="s">
        <v>1365</v>
      </c>
    </row>
    <row r="217" spans="1:7" x14ac:dyDescent="0.2">
      <c r="A217" s="2" t="s">
        <v>1811</v>
      </c>
      <c r="B217" s="2" t="s">
        <v>1812</v>
      </c>
      <c r="C217" s="2" t="s">
        <v>61</v>
      </c>
      <c r="D217" s="27">
        <v>45959</v>
      </c>
      <c r="E217" s="2"/>
      <c r="F217" s="2" t="s">
        <v>8</v>
      </c>
      <c r="G217" s="24" t="s">
        <v>1365</v>
      </c>
    </row>
    <row r="218" spans="1:7" x14ac:dyDescent="0.2">
      <c r="A218" s="2" t="s">
        <v>1813</v>
      </c>
      <c r="B218" s="2" t="s">
        <v>1814</v>
      </c>
      <c r="C218" s="2" t="s">
        <v>61</v>
      </c>
      <c r="D218" s="27">
        <v>45946</v>
      </c>
      <c r="E218" s="2"/>
      <c r="F218" s="2" t="s">
        <v>8</v>
      </c>
      <c r="G218" s="24" t="s">
        <v>1365</v>
      </c>
    </row>
    <row r="219" spans="1:7" x14ac:dyDescent="0.2">
      <c r="A219" s="2" t="s">
        <v>1815</v>
      </c>
      <c r="B219" s="2" t="s">
        <v>1816</v>
      </c>
      <c r="C219" s="2" t="s">
        <v>61</v>
      </c>
      <c r="D219" s="27">
        <v>45951</v>
      </c>
      <c r="E219" s="2"/>
      <c r="F219" s="2" t="s">
        <v>8</v>
      </c>
      <c r="G219" s="24" t="s">
        <v>3895</v>
      </c>
    </row>
    <row r="220" spans="1:7" x14ac:dyDescent="0.2">
      <c r="A220" s="2" t="s">
        <v>1817</v>
      </c>
      <c r="B220" s="2" t="s">
        <v>1818</v>
      </c>
      <c r="C220" s="2" t="s">
        <v>61</v>
      </c>
      <c r="D220" s="27">
        <v>45939</v>
      </c>
      <c r="E220" s="2"/>
      <c r="F220" s="2" t="s">
        <v>8</v>
      </c>
      <c r="G220" s="24" t="s">
        <v>59</v>
      </c>
    </row>
    <row r="221" spans="1:7" x14ac:dyDescent="0.2">
      <c r="A221" s="2" t="s">
        <v>1819</v>
      </c>
      <c r="B221" s="2" t="s">
        <v>1820</v>
      </c>
      <c r="C221" s="2" t="s">
        <v>61</v>
      </c>
      <c r="D221" s="27">
        <v>45953</v>
      </c>
      <c r="E221" s="2"/>
      <c r="F221" s="2" t="s">
        <v>8</v>
      </c>
      <c r="G221" s="24" t="s">
        <v>97</v>
      </c>
    </row>
    <row r="222" spans="1:7" x14ac:dyDescent="0.2">
      <c r="A222" s="2" t="s">
        <v>1821</v>
      </c>
      <c r="B222" s="2" t="s">
        <v>1822</v>
      </c>
      <c r="C222" s="2" t="s">
        <v>61</v>
      </c>
      <c r="D222" s="27">
        <v>45937</v>
      </c>
      <c r="E222" s="2"/>
      <c r="F222" s="2" t="s">
        <v>8</v>
      </c>
      <c r="G222" s="24" t="s">
        <v>1365</v>
      </c>
    </row>
    <row r="223" spans="1:7" x14ac:dyDescent="0.2">
      <c r="A223" s="2" t="s">
        <v>1823</v>
      </c>
      <c r="B223" s="2" t="s">
        <v>1824</v>
      </c>
      <c r="C223" s="2" t="s">
        <v>61</v>
      </c>
      <c r="D223" s="27">
        <v>45950</v>
      </c>
      <c r="E223" s="2"/>
      <c r="F223" s="2" t="s">
        <v>8</v>
      </c>
      <c r="G223" s="24" t="s">
        <v>1365</v>
      </c>
    </row>
    <row r="224" spans="1:7" x14ac:dyDescent="0.2">
      <c r="A224" s="2" t="s">
        <v>1825</v>
      </c>
      <c r="B224" s="2" t="s">
        <v>1826</v>
      </c>
      <c r="C224" s="2" t="s">
        <v>61</v>
      </c>
      <c r="D224" s="27">
        <v>45950</v>
      </c>
      <c r="E224" s="2"/>
      <c r="F224" s="2" t="s">
        <v>8</v>
      </c>
      <c r="G224" s="24" t="s">
        <v>1365</v>
      </c>
    </row>
    <row r="225" spans="1:7" x14ac:dyDescent="0.2">
      <c r="A225" s="2" t="s">
        <v>1827</v>
      </c>
      <c r="B225" s="2" t="s">
        <v>1828</v>
      </c>
      <c r="C225" s="2" t="s">
        <v>61</v>
      </c>
      <c r="D225" s="27">
        <v>45959</v>
      </c>
      <c r="E225" s="2"/>
      <c r="F225" s="2" t="s">
        <v>8</v>
      </c>
      <c r="G225" s="24" t="s">
        <v>1365</v>
      </c>
    </row>
    <row r="226" spans="1:7" x14ac:dyDescent="0.2">
      <c r="A226" s="2" t="s">
        <v>1829</v>
      </c>
      <c r="B226" s="2" t="s">
        <v>1830</v>
      </c>
      <c r="C226" s="2" t="s">
        <v>61</v>
      </c>
      <c r="D226" s="27">
        <v>45951</v>
      </c>
      <c r="E226" s="2"/>
      <c r="F226" s="2" t="s">
        <v>8</v>
      </c>
      <c r="G226" s="24" t="s">
        <v>1365</v>
      </c>
    </row>
    <row r="227" spans="1:7" x14ac:dyDescent="0.2">
      <c r="A227" s="2" t="s">
        <v>1831</v>
      </c>
      <c r="B227" s="2" t="s">
        <v>1832</v>
      </c>
      <c r="C227" s="2" t="s">
        <v>61</v>
      </c>
      <c r="D227" s="27">
        <v>45958</v>
      </c>
      <c r="E227" s="2"/>
      <c r="F227" s="2" t="s">
        <v>8</v>
      </c>
      <c r="G227" s="24" t="s">
        <v>1365</v>
      </c>
    </row>
    <row r="228" spans="1:7" x14ac:dyDescent="0.2">
      <c r="A228" s="2" t="s">
        <v>1833</v>
      </c>
      <c r="B228" s="2" t="s">
        <v>1834</v>
      </c>
      <c r="C228" s="2" t="s">
        <v>61</v>
      </c>
      <c r="D228" s="27">
        <v>45951</v>
      </c>
      <c r="E228" s="2"/>
      <c r="F228" s="2" t="s">
        <v>8</v>
      </c>
      <c r="G228" s="24" t="s">
        <v>1365</v>
      </c>
    </row>
    <row r="229" spans="1:7" x14ac:dyDescent="0.2">
      <c r="A229" s="2" t="s">
        <v>1835</v>
      </c>
      <c r="B229" s="2" t="s">
        <v>1836</v>
      </c>
      <c r="C229" s="2" t="s">
        <v>61</v>
      </c>
      <c r="D229" s="27">
        <v>45938</v>
      </c>
      <c r="E229" s="2"/>
      <c r="F229" s="2" t="s">
        <v>8</v>
      </c>
      <c r="G229" s="24" t="s">
        <v>1365</v>
      </c>
    </row>
    <row r="230" spans="1:7" x14ac:dyDescent="0.2">
      <c r="A230" s="2" t="s">
        <v>1837</v>
      </c>
      <c r="B230" s="2" t="s">
        <v>1838</v>
      </c>
      <c r="C230" s="2" t="s">
        <v>61</v>
      </c>
      <c r="D230" s="27">
        <v>45936</v>
      </c>
      <c r="E230" s="2"/>
      <c r="F230" s="2" t="s">
        <v>8</v>
      </c>
      <c r="G230" s="24" t="s">
        <v>1365</v>
      </c>
    </row>
    <row r="231" spans="1:7" x14ac:dyDescent="0.2">
      <c r="A231" s="2" t="s">
        <v>1839</v>
      </c>
      <c r="B231" s="2" t="s">
        <v>1840</v>
      </c>
      <c r="C231" s="2" t="s">
        <v>61</v>
      </c>
      <c r="D231" s="27">
        <v>45937</v>
      </c>
      <c r="E231" s="2"/>
      <c r="F231" s="2" t="s">
        <v>8</v>
      </c>
      <c r="G231" s="24" t="s">
        <v>1365</v>
      </c>
    </row>
    <row r="232" spans="1:7" x14ac:dyDescent="0.2">
      <c r="A232" s="2" t="s">
        <v>1841</v>
      </c>
      <c r="B232" s="2" t="s">
        <v>1842</v>
      </c>
      <c r="C232" s="2" t="s">
        <v>61</v>
      </c>
      <c r="D232" s="27">
        <v>45947</v>
      </c>
      <c r="E232" s="2"/>
      <c r="F232" s="2" t="s">
        <v>8</v>
      </c>
      <c r="G232" s="24" t="s">
        <v>1365</v>
      </c>
    </row>
    <row r="233" spans="1:7" x14ac:dyDescent="0.2">
      <c r="A233" s="2" t="s">
        <v>1843</v>
      </c>
      <c r="B233" s="2" t="s">
        <v>1844</v>
      </c>
      <c r="C233" s="2" t="s">
        <v>61</v>
      </c>
      <c r="D233" s="27">
        <v>45933</v>
      </c>
      <c r="E233" s="2"/>
      <c r="F233" s="2" t="s">
        <v>8</v>
      </c>
      <c r="G233" s="24" t="s">
        <v>1365</v>
      </c>
    </row>
    <row r="234" spans="1:7" x14ac:dyDescent="0.2">
      <c r="A234" s="2" t="s">
        <v>1845</v>
      </c>
      <c r="B234" s="2" t="s">
        <v>1846</v>
      </c>
      <c r="C234" s="2" t="s">
        <v>61</v>
      </c>
      <c r="D234" s="27">
        <v>45953</v>
      </c>
      <c r="E234" s="2"/>
      <c r="F234" s="2" t="s">
        <v>8</v>
      </c>
      <c r="G234" s="24" t="s">
        <v>1365</v>
      </c>
    </row>
    <row r="235" spans="1:7" x14ac:dyDescent="0.2">
      <c r="A235" s="2" t="s">
        <v>1847</v>
      </c>
      <c r="B235" s="2" t="s">
        <v>1848</v>
      </c>
      <c r="C235" s="2" t="s">
        <v>61</v>
      </c>
      <c r="D235" s="27">
        <v>45950</v>
      </c>
      <c r="E235" s="2"/>
      <c r="F235" s="2" t="s">
        <v>8</v>
      </c>
      <c r="G235" s="24" t="s">
        <v>1365</v>
      </c>
    </row>
    <row r="236" spans="1:7" x14ac:dyDescent="0.2">
      <c r="A236" s="2" t="s">
        <v>1849</v>
      </c>
      <c r="B236" s="2" t="s">
        <v>1850</v>
      </c>
      <c r="C236" s="2" t="s">
        <v>61</v>
      </c>
      <c r="D236" s="27">
        <v>45938</v>
      </c>
      <c r="E236" s="2"/>
      <c r="F236" s="2" t="s">
        <v>8</v>
      </c>
      <c r="G236" s="24" t="s">
        <v>1365</v>
      </c>
    </row>
    <row r="237" spans="1:7" x14ac:dyDescent="0.2">
      <c r="A237" s="2" t="s">
        <v>1851</v>
      </c>
      <c r="B237" s="2" t="s">
        <v>1852</v>
      </c>
      <c r="C237" s="2" t="s">
        <v>61</v>
      </c>
      <c r="D237" s="27">
        <v>45954</v>
      </c>
      <c r="E237" s="2"/>
      <c r="F237" s="2" t="s">
        <v>8</v>
      </c>
      <c r="G237" s="24" t="s">
        <v>1367</v>
      </c>
    </row>
    <row r="238" spans="1:7" x14ac:dyDescent="0.2">
      <c r="A238" s="2" t="s">
        <v>1853</v>
      </c>
      <c r="B238" s="2" t="s">
        <v>1854</v>
      </c>
      <c r="C238" s="2" t="s">
        <v>61</v>
      </c>
      <c r="D238" s="27">
        <v>45950</v>
      </c>
      <c r="E238" s="2"/>
      <c r="F238" s="2" t="s">
        <v>8</v>
      </c>
      <c r="G238" s="24" t="s">
        <v>1365</v>
      </c>
    </row>
    <row r="239" spans="1:7" x14ac:dyDescent="0.2">
      <c r="A239" s="2" t="s">
        <v>1855</v>
      </c>
      <c r="B239" s="2" t="s">
        <v>1856</v>
      </c>
      <c r="C239" s="2" t="s">
        <v>61</v>
      </c>
      <c r="D239" s="27">
        <v>45954</v>
      </c>
      <c r="E239" s="2"/>
      <c r="F239" s="2" t="s">
        <v>8</v>
      </c>
      <c r="G239" s="24" t="s">
        <v>1365</v>
      </c>
    </row>
    <row r="240" spans="1:7" x14ac:dyDescent="0.2">
      <c r="A240" s="2" t="s">
        <v>1857</v>
      </c>
      <c r="B240" s="2" t="s">
        <v>1858</v>
      </c>
      <c r="C240" s="2" t="s">
        <v>61</v>
      </c>
      <c r="D240" s="27">
        <v>45954</v>
      </c>
      <c r="E240" s="2"/>
      <c r="F240" s="2" t="s">
        <v>8</v>
      </c>
      <c r="G240" s="24" t="s">
        <v>1365</v>
      </c>
    </row>
    <row r="241" spans="1:7" x14ac:dyDescent="0.2">
      <c r="A241" s="2" t="s">
        <v>1859</v>
      </c>
      <c r="B241" s="2" t="s">
        <v>1860</v>
      </c>
      <c r="C241" s="2" t="s">
        <v>61</v>
      </c>
      <c r="D241" s="27">
        <v>45943</v>
      </c>
      <c r="E241" s="2"/>
      <c r="F241" s="2" t="s">
        <v>8</v>
      </c>
      <c r="G241" s="24" t="s">
        <v>1365</v>
      </c>
    </row>
    <row r="242" spans="1:7" x14ac:dyDescent="0.2">
      <c r="A242" s="2" t="s">
        <v>1861</v>
      </c>
      <c r="B242" s="2" t="s">
        <v>1862</v>
      </c>
      <c r="C242" s="2" t="s">
        <v>61</v>
      </c>
      <c r="D242" s="27">
        <v>45933</v>
      </c>
      <c r="E242" s="2"/>
      <c r="F242" s="2" t="s">
        <v>8</v>
      </c>
      <c r="G242" s="24" t="s">
        <v>1365</v>
      </c>
    </row>
    <row r="243" spans="1:7" x14ac:dyDescent="0.2">
      <c r="A243" s="2" t="s">
        <v>1863</v>
      </c>
      <c r="B243" s="2" t="s">
        <v>1864</v>
      </c>
      <c r="C243" s="2" t="s">
        <v>61</v>
      </c>
      <c r="D243" s="27">
        <v>45960</v>
      </c>
      <c r="E243" s="2"/>
      <c r="F243" s="2" t="s">
        <v>8</v>
      </c>
      <c r="G243" s="24" t="s">
        <v>1365</v>
      </c>
    </row>
    <row r="244" spans="1:7" x14ac:dyDescent="0.2">
      <c r="A244" s="2" t="s">
        <v>1865</v>
      </c>
      <c r="B244" s="2" t="s">
        <v>1866</v>
      </c>
      <c r="C244" s="2" t="s">
        <v>61</v>
      </c>
      <c r="D244" s="27">
        <v>45939</v>
      </c>
      <c r="E244" s="2"/>
      <c r="F244" s="2" t="s">
        <v>8</v>
      </c>
      <c r="G244" s="24" t="s">
        <v>1365</v>
      </c>
    </row>
    <row r="245" spans="1:7" x14ac:dyDescent="0.2">
      <c r="A245" s="2" t="s">
        <v>1867</v>
      </c>
      <c r="B245" s="2" t="s">
        <v>1868</v>
      </c>
      <c r="C245" s="2" t="s">
        <v>61</v>
      </c>
      <c r="D245" s="27">
        <v>45958</v>
      </c>
      <c r="E245" s="2"/>
      <c r="F245" s="2" t="s">
        <v>8</v>
      </c>
      <c r="G245" s="24" t="s">
        <v>1365</v>
      </c>
    </row>
    <row r="246" spans="1:7" x14ac:dyDescent="0.2">
      <c r="A246" s="2" t="s">
        <v>1869</v>
      </c>
      <c r="B246" s="2" t="s">
        <v>1870</v>
      </c>
      <c r="C246" s="2" t="s">
        <v>61</v>
      </c>
      <c r="D246" s="27">
        <v>45932</v>
      </c>
      <c r="E246" s="2"/>
      <c r="F246" s="2" t="s">
        <v>8</v>
      </c>
      <c r="G246" s="24" t="s">
        <v>1365</v>
      </c>
    </row>
    <row r="247" spans="1:7" x14ac:dyDescent="0.2">
      <c r="A247" s="2" t="s">
        <v>1871</v>
      </c>
      <c r="B247" s="2" t="s">
        <v>1872</v>
      </c>
      <c r="C247" s="2" t="s">
        <v>61</v>
      </c>
      <c r="D247" s="27">
        <v>45960</v>
      </c>
      <c r="E247" s="2"/>
      <c r="F247" s="2" t="s">
        <v>8</v>
      </c>
      <c r="G247" s="24" t="s">
        <v>1365</v>
      </c>
    </row>
    <row r="248" spans="1:7" x14ac:dyDescent="0.2">
      <c r="A248" s="2" t="s">
        <v>1873</v>
      </c>
      <c r="B248" s="2" t="s">
        <v>1874</v>
      </c>
      <c r="C248" s="2" t="s">
        <v>61</v>
      </c>
      <c r="D248" s="27">
        <v>45937</v>
      </c>
      <c r="E248" s="2"/>
      <c r="F248" s="2" t="s">
        <v>8</v>
      </c>
      <c r="G248" s="24" t="s">
        <v>1365</v>
      </c>
    </row>
    <row r="249" spans="1:7" x14ac:dyDescent="0.2">
      <c r="A249" s="2" t="s">
        <v>1875</v>
      </c>
      <c r="B249" s="2" t="s">
        <v>1876</v>
      </c>
      <c r="C249" s="2" t="s">
        <v>61</v>
      </c>
      <c r="D249" s="27">
        <v>45947</v>
      </c>
      <c r="E249" s="2"/>
      <c r="F249" s="2" t="s">
        <v>8</v>
      </c>
      <c r="G249" s="24" t="s">
        <v>1365</v>
      </c>
    </row>
    <row r="250" spans="1:7" x14ac:dyDescent="0.2">
      <c r="A250" s="2" t="s">
        <v>1877</v>
      </c>
      <c r="B250" s="2" t="s">
        <v>1878</v>
      </c>
      <c r="C250" s="2" t="s">
        <v>61</v>
      </c>
      <c r="D250" s="27">
        <v>45946</v>
      </c>
      <c r="E250" s="2"/>
      <c r="F250" s="2" t="s">
        <v>8</v>
      </c>
      <c r="G250" s="24" t="s">
        <v>1365</v>
      </c>
    </row>
    <row r="251" spans="1:7" x14ac:dyDescent="0.2">
      <c r="A251" s="2" t="s">
        <v>1879</v>
      </c>
      <c r="B251" s="2" t="s">
        <v>1880</v>
      </c>
      <c r="C251" s="2" t="s">
        <v>61</v>
      </c>
      <c r="D251" s="27">
        <v>45954</v>
      </c>
      <c r="E251" s="2"/>
      <c r="F251" s="2" t="s">
        <v>8</v>
      </c>
      <c r="G251" s="24" t="s">
        <v>1365</v>
      </c>
    </row>
    <row r="252" spans="1:7" x14ac:dyDescent="0.2">
      <c r="A252" s="2" t="s">
        <v>1881</v>
      </c>
      <c r="B252" s="2" t="s">
        <v>1882</v>
      </c>
      <c r="C252" s="2" t="s">
        <v>61</v>
      </c>
      <c r="D252" s="27">
        <v>45946</v>
      </c>
      <c r="E252" s="2"/>
      <c r="F252" s="2" t="s">
        <v>8</v>
      </c>
      <c r="G252" s="24" t="s">
        <v>1365</v>
      </c>
    </row>
    <row r="253" spans="1:7" x14ac:dyDescent="0.2">
      <c r="A253" s="2" t="s">
        <v>1883</v>
      </c>
      <c r="B253" s="2" t="s">
        <v>1884</v>
      </c>
      <c r="C253" s="2" t="s">
        <v>61</v>
      </c>
      <c r="D253" s="27">
        <v>45946</v>
      </c>
      <c r="E253" s="2"/>
      <c r="F253" s="2" t="s">
        <v>8</v>
      </c>
      <c r="G253" s="24" t="s">
        <v>594</v>
      </c>
    </row>
    <row r="254" spans="1:7" x14ac:dyDescent="0.2">
      <c r="A254" s="2" t="s">
        <v>1885</v>
      </c>
      <c r="B254" s="2" t="s">
        <v>1886</v>
      </c>
      <c r="C254" s="2" t="s">
        <v>61</v>
      </c>
      <c r="D254" s="27">
        <v>45952</v>
      </c>
      <c r="E254" s="2"/>
      <c r="F254" s="2" t="s">
        <v>8</v>
      </c>
      <c r="G254" s="24" t="s">
        <v>1365</v>
      </c>
    </row>
    <row r="255" spans="1:7" x14ac:dyDescent="0.2">
      <c r="A255" s="2" t="s">
        <v>1887</v>
      </c>
      <c r="B255" s="2" t="s">
        <v>1888</v>
      </c>
      <c r="C255" s="2" t="s">
        <v>61</v>
      </c>
      <c r="D255" s="27">
        <v>45952</v>
      </c>
      <c r="E255" s="2"/>
      <c r="F255" s="2" t="s">
        <v>8</v>
      </c>
      <c r="G255" s="24" t="s">
        <v>1365</v>
      </c>
    </row>
    <row r="256" spans="1:7" x14ac:dyDescent="0.2">
      <c r="A256" s="2" t="s">
        <v>1889</v>
      </c>
      <c r="B256" s="2" t="s">
        <v>1890</v>
      </c>
      <c r="C256" s="2" t="s">
        <v>61</v>
      </c>
      <c r="D256" s="27">
        <v>45959</v>
      </c>
      <c r="E256" s="2"/>
      <c r="F256" s="2" t="s">
        <v>8</v>
      </c>
      <c r="G256" s="24" t="s">
        <v>1365</v>
      </c>
    </row>
    <row r="257" spans="1:7" x14ac:dyDescent="0.2">
      <c r="A257" s="2" t="s">
        <v>1891</v>
      </c>
      <c r="B257" s="2" t="s">
        <v>1892</v>
      </c>
      <c r="C257" s="2" t="s">
        <v>61</v>
      </c>
      <c r="D257" s="27">
        <v>45945</v>
      </c>
      <c r="E257" s="2"/>
      <c r="F257" s="2" t="s">
        <v>8</v>
      </c>
      <c r="G257" s="24" t="s">
        <v>1365</v>
      </c>
    </row>
    <row r="258" spans="1:7" x14ac:dyDescent="0.2">
      <c r="A258" s="2" t="s">
        <v>1893</v>
      </c>
      <c r="B258" s="2" t="s">
        <v>1894</v>
      </c>
      <c r="C258" s="2" t="s">
        <v>61</v>
      </c>
      <c r="D258" s="27">
        <v>45957</v>
      </c>
      <c r="E258" s="2"/>
      <c r="F258" s="2" t="s">
        <v>8</v>
      </c>
      <c r="G258" s="24" t="s">
        <v>1365</v>
      </c>
    </row>
    <row r="259" spans="1:7" x14ac:dyDescent="0.2">
      <c r="A259" s="2" t="s">
        <v>1895</v>
      </c>
      <c r="B259" s="2" t="s">
        <v>1896</v>
      </c>
      <c r="C259" s="2" t="s">
        <v>61</v>
      </c>
      <c r="D259" s="27">
        <v>45946</v>
      </c>
      <c r="E259" s="2"/>
      <c r="F259" s="2" t="s">
        <v>8</v>
      </c>
      <c r="G259" s="24" t="s">
        <v>1365</v>
      </c>
    </row>
    <row r="260" spans="1:7" x14ac:dyDescent="0.2">
      <c r="A260" s="2" t="s">
        <v>1897</v>
      </c>
      <c r="B260" s="2" t="s">
        <v>1898</v>
      </c>
      <c r="C260" s="2" t="s">
        <v>61</v>
      </c>
      <c r="D260" s="27">
        <v>45961</v>
      </c>
      <c r="E260" s="2"/>
      <c r="F260" s="2" t="s">
        <v>8</v>
      </c>
      <c r="G260" s="24" t="s">
        <v>6</v>
      </c>
    </row>
    <row r="261" spans="1:7" x14ac:dyDescent="0.2">
      <c r="A261" s="2" t="s">
        <v>1899</v>
      </c>
      <c r="B261" s="2" t="s">
        <v>1900</v>
      </c>
      <c r="C261" s="2" t="s">
        <v>61</v>
      </c>
      <c r="D261" s="27">
        <v>45950</v>
      </c>
      <c r="E261" s="2"/>
      <c r="F261" s="2" t="s">
        <v>8</v>
      </c>
      <c r="G261" s="24" t="s">
        <v>6</v>
      </c>
    </row>
    <row r="262" spans="1:7" x14ac:dyDescent="0.2">
      <c r="A262" s="2" t="s">
        <v>1901</v>
      </c>
      <c r="B262" s="2" t="s">
        <v>1902</v>
      </c>
      <c r="C262" s="2" t="s">
        <v>61</v>
      </c>
      <c r="D262" s="27">
        <v>45960</v>
      </c>
      <c r="E262" s="2"/>
      <c r="F262" s="2" t="s">
        <v>8</v>
      </c>
      <c r="G262" s="24" t="s">
        <v>6</v>
      </c>
    </row>
    <row r="263" spans="1:7" x14ac:dyDescent="0.2">
      <c r="A263" s="2" t="s">
        <v>1903</v>
      </c>
      <c r="B263" s="2" t="s">
        <v>1904</v>
      </c>
      <c r="C263" s="2" t="s">
        <v>61</v>
      </c>
      <c r="D263" s="27">
        <v>45938</v>
      </c>
      <c r="E263" s="2"/>
      <c r="F263" s="2" t="s">
        <v>8</v>
      </c>
      <c r="G263" s="24" t="s">
        <v>6</v>
      </c>
    </row>
    <row r="264" spans="1:7" x14ac:dyDescent="0.2">
      <c r="A264" s="2" t="s">
        <v>1905</v>
      </c>
      <c r="B264" s="2" t="s">
        <v>1906</v>
      </c>
      <c r="C264" s="2" t="s">
        <v>61</v>
      </c>
      <c r="D264" s="27">
        <v>45949</v>
      </c>
      <c r="E264" s="2"/>
      <c r="F264" s="2" t="s">
        <v>8</v>
      </c>
      <c r="G264" s="24" t="s">
        <v>6</v>
      </c>
    </row>
    <row r="265" spans="1:7" x14ac:dyDescent="0.2">
      <c r="A265" s="2" t="s">
        <v>1907</v>
      </c>
      <c r="B265" s="2" t="s">
        <v>1908</v>
      </c>
      <c r="C265" s="2" t="s">
        <v>61</v>
      </c>
      <c r="D265" s="27">
        <v>45945</v>
      </c>
      <c r="E265" s="2"/>
      <c r="F265" s="2" t="s">
        <v>8</v>
      </c>
      <c r="G265" s="24" t="s">
        <v>6</v>
      </c>
    </row>
    <row r="266" spans="1:7" x14ac:dyDescent="0.2">
      <c r="A266" s="2" t="s">
        <v>1909</v>
      </c>
      <c r="B266" s="2" t="s">
        <v>1910</v>
      </c>
      <c r="C266" s="2" t="s">
        <v>61</v>
      </c>
      <c r="D266" s="27">
        <v>45961</v>
      </c>
      <c r="E266" s="2"/>
      <c r="F266" s="2" t="s">
        <v>8</v>
      </c>
      <c r="G266" s="24" t="s">
        <v>6</v>
      </c>
    </row>
    <row r="267" spans="1:7" x14ac:dyDescent="0.2">
      <c r="A267" s="2" t="s">
        <v>1911</v>
      </c>
      <c r="B267" s="2" t="s">
        <v>1912</v>
      </c>
      <c r="C267" s="2" t="s">
        <v>61</v>
      </c>
      <c r="D267" s="27">
        <v>45950</v>
      </c>
      <c r="E267" s="2"/>
      <c r="F267" s="2" t="s">
        <v>8</v>
      </c>
      <c r="G267" s="24" t="s">
        <v>6</v>
      </c>
    </row>
    <row r="268" spans="1:7" x14ac:dyDescent="0.2">
      <c r="A268" s="2" t="s">
        <v>1913</v>
      </c>
      <c r="B268" s="2" t="s">
        <v>1914</v>
      </c>
      <c r="C268" s="2" t="s">
        <v>61</v>
      </c>
      <c r="D268" s="27">
        <v>45931</v>
      </c>
      <c r="E268" s="2"/>
      <c r="F268" s="2" t="s">
        <v>8</v>
      </c>
      <c r="G268" s="24" t="s">
        <v>6</v>
      </c>
    </row>
    <row r="269" spans="1:7" x14ac:dyDescent="0.2">
      <c r="A269" s="2" t="s">
        <v>1915</v>
      </c>
      <c r="B269" s="2" t="s">
        <v>1916</v>
      </c>
      <c r="C269" s="2" t="s">
        <v>61</v>
      </c>
      <c r="D269" s="27">
        <v>45932</v>
      </c>
      <c r="E269" s="2"/>
      <c r="F269" s="2" t="s">
        <v>8</v>
      </c>
      <c r="G269" s="24" t="s">
        <v>6</v>
      </c>
    </row>
    <row r="270" spans="1:7" x14ac:dyDescent="0.2">
      <c r="A270" s="2" t="s">
        <v>1917</v>
      </c>
      <c r="B270" s="2" t="s">
        <v>1918</v>
      </c>
      <c r="C270" s="2" t="s">
        <v>61</v>
      </c>
      <c r="D270" s="27">
        <v>45953</v>
      </c>
      <c r="E270" s="2"/>
      <c r="F270" s="2" t="s">
        <v>8</v>
      </c>
      <c r="G270" s="24" t="s">
        <v>6</v>
      </c>
    </row>
    <row r="271" spans="1:7" x14ac:dyDescent="0.2">
      <c r="A271" s="2" t="s">
        <v>1919</v>
      </c>
      <c r="B271" s="2" t="s">
        <v>1920</v>
      </c>
      <c r="C271" s="2" t="s">
        <v>61</v>
      </c>
      <c r="D271" s="27">
        <v>45941</v>
      </c>
      <c r="E271" s="2"/>
      <c r="F271" s="2" t="s">
        <v>8</v>
      </c>
      <c r="G271" s="24" t="s">
        <v>6</v>
      </c>
    </row>
    <row r="272" spans="1:7" x14ac:dyDescent="0.2">
      <c r="A272" s="2" t="s">
        <v>1921</v>
      </c>
      <c r="B272" s="2" t="s">
        <v>1922</v>
      </c>
      <c r="C272" s="2" t="s">
        <v>61</v>
      </c>
      <c r="D272" s="27">
        <v>45932</v>
      </c>
      <c r="E272" s="2"/>
      <c r="F272" s="2" t="s">
        <v>8</v>
      </c>
      <c r="G272" s="24" t="s">
        <v>6</v>
      </c>
    </row>
    <row r="273" spans="1:7" x14ac:dyDescent="0.2">
      <c r="A273" s="2" t="s">
        <v>1923</v>
      </c>
      <c r="B273" s="2" t="s">
        <v>1924</v>
      </c>
      <c r="C273" s="2" t="s">
        <v>61</v>
      </c>
      <c r="D273" s="27">
        <v>45947</v>
      </c>
      <c r="E273" s="2"/>
      <c r="F273" s="2" t="s">
        <v>8</v>
      </c>
      <c r="G273" s="24" t="s">
        <v>79</v>
      </c>
    </row>
    <row r="274" spans="1:7" x14ac:dyDescent="0.2">
      <c r="A274" s="2" t="s">
        <v>1925</v>
      </c>
      <c r="B274" s="2" t="s">
        <v>1926</v>
      </c>
      <c r="C274" s="2" t="s">
        <v>61</v>
      </c>
      <c r="D274" s="27">
        <v>45961</v>
      </c>
      <c r="E274" s="2"/>
      <c r="F274" s="2" t="s">
        <v>8</v>
      </c>
      <c r="G274" s="24" t="s">
        <v>6</v>
      </c>
    </row>
    <row r="275" spans="1:7" x14ac:dyDescent="0.2">
      <c r="A275" s="2" t="s">
        <v>1927</v>
      </c>
      <c r="B275" s="2" t="s">
        <v>1928</v>
      </c>
      <c r="C275" s="2" t="s">
        <v>61</v>
      </c>
      <c r="D275" s="27">
        <v>45959</v>
      </c>
      <c r="E275" s="2"/>
      <c r="F275" s="2" t="s">
        <v>8</v>
      </c>
      <c r="G275" s="24" t="s">
        <v>6</v>
      </c>
    </row>
    <row r="276" spans="1:7" x14ac:dyDescent="0.2">
      <c r="A276" s="2" t="s">
        <v>1929</v>
      </c>
      <c r="B276" s="2" t="s">
        <v>1930</v>
      </c>
      <c r="C276" s="2" t="s">
        <v>61</v>
      </c>
      <c r="D276" s="27">
        <v>45936</v>
      </c>
      <c r="E276" s="2"/>
      <c r="F276" s="2" t="s">
        <v>8</v>
      </c>
      <c r="G276" s="24" t="s">
        <v>6</v>
      </c>
    </row>
    <row r="277" spans="1:7" x14ac:dyDescent="0.2">
      <c r="A277" s="2" t="s">
        <v>1931</v>
      </c>
      <c r="B277" s="2" t="s">
        <v>1932</v>
      </c>
      <c r="C277" s="2" t="s">
        <v>61</v>
      </c>
      <c r="D277" s="27">
        <v>45945</v>
      </c>
      <c r="E277" s="2"/>
      <c r="F277" s="2" t="s">
        <v>8</v>
      </c>
      <c r="G277" s="24" t="s">
        <v>6</v>
      </c>
    </row>
    <row r="278" spans="1:7" x14ac:dyDescent="0.2">
      <c r="A278" s="2" t="s">
        <v>1933</v>
      </c>
      <c r="B278" s="2" t="s">
        <v>1934</v>
      </c>
      <c r="C278" s="2" t="s">
        <v>61</v>
      </c>
      <c r="D278" s="27">
        <v>45950</v>
      </c>
      <c r="E278" s="2"/>
      <c r="F278" s="2" t="s">
        <v>8</v>
      </c>
      <c r="G278" s="24" t="s">
        <v>6</v>
      </c>
    </row>
    <row r="279" spans="1:7" x14ac:dyDescent="0.2">
      <c r="A279" s="2" t="s">
        <v>1935</v>
      </c>
      <c r="B279" s="2" t="s">
        <v>1936</v>
      </c>
      <c r="C279" s="2" t="s">
        <v>61</v>
      </c>
      <c r="D279" s="27">
        <v>45952</v>
      </c>
      <c r="E279" s="2"/>
      <c r="F279" s="2" t="s">
        <v>8</v>
      </c>
      <c r="G279" s="24" t="s">
        <v>6</v>
      </c>
    </row>
    <row r="280" spans="1:7" x14ac:dyDescent="0.2">
      <c r="A280" s="2" t="s">
        <v>1937</v>
      </c>
      <c r="B280" s="2" t="s">
        <v>1938</v>
      </c>
      <c r="C280" s="2" t="s">
        <v>61</v>
      </c>
      <c r="D280" s="27">
        <v>45961</v>
      </c>
      <c r="E280" s="2"/>
      <c r="F280" s="2" t="s">
        <v>8</v>
      </c>
      <c r="G280" s="24" t="s">
        <v>6</v>
      </c>
    </row>
    <row r="281" spans="1:7" x14ac:dyDescent="0.2">
      <c r="A281" s="2" t="s">
        <v>1939</v>
      </c>
      <c r="B281" s="2" t="s">
        <v>1940</v>
      </c>
      <c r="C281" s="2" t="s">
        <v>61</v>
      </c>
      <c r="D281" s="27">
        <v>45957</v>
      </c>
      <c r="E281" s="2"/>
      <c r="F281" s="2" t="s">
        <v>8</v>
      </c>
      <c r="G281" s="24" t="s">
        <v>6</v>
      </c>
    </row>
    <row r="282" spans="1:7" x14ac:dyDescent="0.2">
      <c r="A282" s="2" t="s">
        <v>1941</v>
      </c>
      <c r="B282" s="2" t="s">
        <v>1942</v>
      </c>
      <c r="C282" s="2" t="s">
        <v>61</v>
      </c>
      <c r="D282" s="27">
        <v>45951</v>
      </c>
      <c r="E282" s="2"/>
      <c r="F282" s="2" t="s">
        <v>8</v>
      </c>
      <c r="G282" s="24" t="s">
        <v>6</v>
      </c>
    </row>
    <row r="283" spans="1:7" x14ac:dyDescent="0.2">
      <c r="A283" s="2" t="s">
        <v>1943</v>
      </c>
      <c r="B283" s="2" t="s">
        <v>1944</v>
      </c>
      <c r="C283" s="2" t="s">
        <v>61</v>
      </c>
      <c r="D283" s="27">
        <v>45946</v>
      </c>
      <c r="E283" s="2"/>
      <c r="F283" s="2" t="s">
        <v>8</v>
      </c>
      <c r="G283" s="24" t="s">
        <v>6</v>
      </c>
    </row>
    <row r="284" spans="1:7" x14ac:dyDescent="0.2">
      <c r="A284" s="2" t="s">
        <v>1945</v>
      </c>
      <c r="B284" s="2" t="s">
        <v>1946</v>
      </c>
      <c r="C284" s="2" t="s">
        <v>61</v>
      </c>
      <c r="D284" s="27">
        <v>45959</v>
      </c>
      <c r="E284" s="2"/>
      <c r="F284" s="2" t="s">
        <v>8</v>
      </c>
      <c r="G284" s="24" t="s">
        <v>6</v>
      </c>
    </row>
    <row r="285" spans="1:7" x14ac:dyDescent="0.2">
      <c r="A285" s="2" t="s">
        <v>1947</v>
      </c>
      <c r="B285" s="2" t="s">
        <v>1948</v>
      </c>
      <c r="C285" s="2" t="s">
        <v>61</v>
      </c>
      <c r="D285" s="27">
        <v>45953</v>
      </c>
      <c r="E285" s="2"/>
      <c r="F285" s="2" t="s">
        <v>8</v>
      </c>
      <c r="G285" s="24" t="s">
        <v>6</v>
      </c>
    </row>
    <row r="286" spans="1:7" x14ac:dyDescent="0.2">
      <c r="A286" s="2" t="s">
        <v>1949</v>
      </c>
      <c r="B286" s="2" t="s">
        <v>1950</v>
      </c>
      <c r="C286" s="2" t="s">
        <v>61</v>
      </c>
      <c r="D286" s="27">
        <v>45946</v>
      </c>
      <c r="E286" s="2"/>
      <c r="F286" s="2" t="s">
        <v>8</v>
      </c>
      <c r="G286" s="24" t="s">
        <v>6</v>
      </c>
    </row>
    <row r="287" spans="1:7" x14ac:dyDescent="0.2">
      <c r="A287" s="2" t="s">
        <v>1951</v>
      </c>
      <c r="B287" s="2" t="s">
        <v>1952</v>
      </c>
      <c r="C287" s="2" t="s">
        <v>61</v>
      </c>
      <c r="D287" s="27">
        <v>45932</v>
      </c>
      <c r="E287" s="2"/>
      <c r="F287" s="2" t="s">
        <v>8</v>
      </c>
      <c r="G287" s="24" t="s">
        <v>6</v>
      </c>
    </row>
    <row r="288" spans="1:7" x14ac:dyDescent="0.2">
      <c r="A288" s="2" t="s">
        <v>1953</v>
      </c>
      <c r="B288" s="2" t="s">
        <v>1954</v>
      </c>
      <c r="C288" s="2" t="s">
        <v>61</v>
      </c>
      <c r="D288" s="27">
        <v>45960</v>
      </c>
      <c r="E288" s="2"/>
      <c r="F288" s="2" t="s">
        <v>8</v>
      </c>
      <c r="G288" s="24" t="s">
        <v>6</v>
      </c>
    </row>
    <row r="289" spans="1:7" x14ac:dyDescent="0.2">
      <c r="A289" s="2" t="s">
        <v>1955</v>
      </c>
      <c r="B289" s="2" t="s">
        <v>1956</v>
      </c>
      <c r="C289" s="2" t="s">
        <v>61</v>
      </c>
      <c r="D289" s="27">
        <v>45943</v>
      </c>
      <c r="E289" s="2"/>
      <c r="F289" s="2" t="s">
        <v>8</v>
      </c>
      <c r="G289" s="24" t="s">
        <v>1367</v>
      </c>
    </row>
    <row r="290" spans="1:7" x14ac:dyDescent="0.2">
      <c r="A290" s="2" t="s">
        <v>1957</v>
      </c>
      <c r="B290" s="2" t="s">
        <v>1958</v>
      </c>
      <c r="C290" s="2" t="s">
        <v>61</v>
      </c>
      <c r="D290" s="27">
        <v>45940</v>
      </c>
      <c r="E290" s="2"/>
      <c r="F290" s="2" t="s">
        <v>8</v>
      </c>
      <c r="G290" s="24" t="s">
        <v>6</v>
      </c>
    </row>
    <row r="291" spans="1:7" x14ac:dyDescent="0.2">
      <c r="A291" s="2" t="s">
        <v>1959</v>
      </c>
      <c r="B291" s="2" t="s">
        <v>1960</v>
      </c>
      <c r="C291" s="2" t="s">
        <v>61</v>
      </c>
      <c r="D291" s="27">
        <v>45931</v>
      </c>
      <c r="E291" s="2"/>
      <c r="F291" s="2" t="s">
        <v>8</v>
      </c>
      <c r="G291" s="24" t="s">
        <v>6</v>
      </c>
    </row>
    <row r="292" spans="1:7" x14ac:dyDescent="0.2">
      <c r="A292" s="2" t="s">
        <v>1961</v>
      </c>
      <c r="B292" s="2" t="s">
        <v>1962</v>
      </c>
      <c r="C292" s="2" t="s">
        <v>61</v>
      </c>
      <c r="D292" s="27">
        <v>45937</v>
      </c>
      <c r="E292" s="2"/>
      <c r="F292" s="2" t="s">
        <v>8</v>
      </c>
      <c r="G292" s="24" t="s">
        <v>6</v>
      </c>
    </row>
    <row r="293" spans="1:7" x14ac:dyDescent="0.2">
      <c r="A293" s="2" t="s">
        <v>1963</v>
      </c>
      <c r="B293" s="2" t="s">
        <v>1964</v>
      </c>
      <c r="C293" s="2" t="s">
        <v>61</v>
      </c>
      <c r="D293" s="27">
        <v>45937</v>
      </c>
      <c r="E293" s="2"/>
      <c r="F293" s="2" t="s">
        <v>8</v>
      </c>
      <c r="G293" s="24" t="s">
        <v>6</v>
      </c>
    </row>
    <row r="294" spans="1:7" x14ac:dyDescent="0.2">
      <c r="A294" s="2" t="s">
        <v>1965</v>
      </c>
      <c r="B294" s="2" t="s">
        <v>1966</v>
      </c>
      <c r="C294" s="2" t="s">
        <v>61</v>
      </c>
      <c r="D294" s="27">
        <v>45932</v>
      </c>
      <c r="E294" s="2"/>
      <c r="F294" s="2" t="s">
        <v>8</v>
      </c>
      <c r="G294" s="24" t="s">
        <v>6</v>
      </c>
    </row>
    <row r="295" spans="1:7" x14ac:dyDescent="0.2">
      <c r="A295" s="2" t="s">
        <v>1967</v>
      </c>
      <c r="B295" s="2" t="s">
        <v>1968</v>
      </c>
      <c r="C295" s="2" t="s">
        <v>61</v>
      </c>
      <c r="D295" s="27">
        <v>45947</v>
      </c>
      <c r="E295" s="2"/>
      <c r="F295" s="2" t="s">
        <v>8</v>
      </c>
      <c r="G295" s="24" t="s">
        <v>6</v>
      </c>
    </row>
    <row r="296" spans="1:7" x14ac:dyDescent="0.2">
      <c r="A296" s="2" t="s">
        <v>1969</v>
      </c>
      <c r="B296" s="2" t="s">
        <v>1970</v>
      </c>
      <c r="C296" s="2" t="s">
        <v>61</v>
      </c>
      <c r="D296" s="27">
        <v>45940</v>
      </c>
      <c r="E296" s="2"/>
      <c r="F296" s="2" t="s">
        <v>8</v>
      </c>
      <c r="G296" s="24" t="s">
        <v>6</v>
      </c>
    </row>
    <row r="297" spans="1:7" x14ac:dyDescent="0.2">
      <c r="A297" s="2" t="s">
        <v>1971</v>
      </c>
      <c r="B297" s="2" t="s">
        <v>1972</v>
      </c>
      <c r="C297" s="2" t="s">
        <v>61</v>
      </c>
      <c r="D297" s="27">
        <v>45959</v>
      </c>
      <c r="E297" s="2"/>
      <c r="F297" s="2" t="s">
        <v>8</v>
      </c>
      <c r="G297" s="24" t="s">
        <v>6</v>
      </c>
    </row>
    <row r="298" spans="1:7" x14ac:dyDescent="0.2">
      <c r="A298" s="2" t="s">
        <v>1973</v>
      </c>
      <c r="B298" s="2" t="s">
        <v>1974</v>
      </c>
      <c r="C298" s="2" t="s">
        <v>61</v>
      </c>
      <c r="D298" s="27">
        <v>45937</v>
      </c>
      <c r="E298" s="2"/>
      <c r="F298" s="2" t="s">
        <v>8</v>
      </c>
      <c r="G298" s="24" t="s">
        <v>6</v>
      </c>
    </row>
    <row r="299" spans="1:7" x14ac:dyDescent="0.2">
      <c r="A299" s="2" t="s">
        <v>1975</v>
      </c>
      <c r="B299" s="2" t="s">
        <v>1976</v>
      </c>
      <c r="C299" s="2" t="s">
        <v>61</v>
      </c>
      <c r="D299" s="27">
        <v>45940</v>
      </c>
      <c r="E299" s="2"/>
      <c r="F299" s="2" t="s">
        <v>8</v>
      </c>
      <c r="G299" s="24" t="s">
        <v>6</v>
      </c>
    </row>
    <row r="300" spans="1:7" x14ac:dyDescent="0.2">
      <c r="A300" s="2" t="s">
        <v>1977</v>
      </c>
      <c r="B300" s="2" t="s">
        <v>1978</v>
      </c>
      <c r="C300" s="2" t="s">
        <v>61</v>
      </c>
      <c r="D300" s="27">
        <v>45953</v>
      </c>
      <c r="E300" s="2"/>
      <c r="F300" s="2" t="s">
        <v>8</v>
      </c>
      <c r="G300" s="24" t="s">
        <v>593</v>
      </c>
    </row>
    <row r="301" spans="1:7" x14ac:dyDescent="0.2">
      <c r="A301" s="2" t="s">
        <v>1979</v>
      </c>
      <c r="B301" s="2" t="s">
        <v>1980</v>
      </c>
      <c r="C301" s="2" t="s">
        <v>61</v>
      </c>
      <c r="D301" s="27">
        <v>45939</v>
      </c>
      <c r="E301" s="2"/>
      <c r="F301" s="2" t="s">
        <v>8</v>
      </c>
      <c r="G301" s="24" t="s">
        <v>79</v>
      </c>
    </row>
    <row r="302" spans="1:7" x14ac:dyDescent="0.2">
      <c r="A302" s="2" t="s">
        <v>1981</v>
      </c>
      <c r="B302" s="2" t="s">
        <v>1982</v>
      </c>
      <c r="C302" s="2" t="s">
        <v>61</v>
      </c>
      <c r="D302" s="27">
        <v>45954</v>
      </c>
      <c r="E302" s="2"/>
      <c r="F302" s="2" t="s">
        <v>8</v>
      </c>
      <c r="G302" s="24" t="s">
        <v>1367</v>
      </c>
    </row>
    <row r="303" spans="1:7" x14ac:dyDescent="0.2">
      <c r="A303" s="2" t="s">
        <v>1983</v>
      </c>
      <c r="B303" s="2" t="s">
        <v>1984</v>
      </c>
      <c r="C303" s="2" t="s">
        <v>61</v>
      </c>
      <c r="D303" s="27">
        <v>45946</v>
      </c>
      <c r="E303" s="2"/>
      <c r="F303" s="2" t="s">
        <v>8</v>
      </c>
      <c r="G303" s="24" t="s">
        <v>6</v>
      </c>
    </row>
    <row r="304" spans="1:7" x14ac:dyDescent="0.2">
      <c r="A304" s="2" t="s">
        <v>1985</v>
      </c>
      <c r="B304" s="2" t="s">
        <v>1986</v>
      </c>
      <c r="C304" s="2" t="s">
        <v>61</v>
      </c>
      <c r="D304" s="27">
        <v>45946</v>
      </c>
      <c r="E304" s="2"/>
      <c r="F304" s="2" t="s">
        <v>8</v>
      </c>
      <c r="G304" s="24" t="s">
        <v>6</v>
      </c>
    </row>
    <row r="305" spans="1:7" x14ac:dyDescent="0.2">
      <c r="A305" s="2" t="s">
        <v>1987</v>
      </c>
      <c r="B305" s="2" t="s">
        <v>1988</v>
      </c>
      <c r="C305" s="2" t="s">
        <v>61</v>
      </c>
      <c r="D305" s="27">
        <v>45945</v>
      </c>
      <c r="E305" s="2"/>
      <c r="F305" s="2" t="s">
        <v>8</v>
      </c>
      <c r="G305" s="24" t="s">
        <v>6</v>
      </c>
    </row>
    <row r="306" spans="1:7" x14ac:dyDescent="0.2">
      <c r="A306" s="2" t="s">
        <v>1989</v>
      </c>
      <c r="B306" s="2" t="s">
        <v>1990</v>
      </c>
      <c r="C306" s="2" t="s">
        <v>61</v>
      </c>
      <c r="D306" s="27">
        <v>45946</v>
      </c>
      <c r="E306" s="2"/>
      <c r="F306" s="2" t="s">
        <v>8</v>
      </c>
      <c r="G306" s="24" t="s">
        <v>6</v>
      </c>
    </row>
    <row r="307" spans="1:7" x14ac:dyDescent="0.2">
      <c r="A307" s="2" t="s">
        <v>1991</v>
      </c>
      <c r="B307" s="2" t="s">
        <v>1992</v>
      </c>
      <c r="C307" s="2" t="s">
        <v>61</v>
      </c>
      <c r="D307" s="27">
        <v>45946</v>
      </c>
      <c r="E307" s="2"/>
      <c r="F307" s="2" t="s">
        <v>8</v>
      </c>
      <c r="G307" s="24" t="s">
        <v>6</v>
      </c>
    </row>
    <row r="308" spans="1:7" x14ac:dyDescent="0.2">
      <c r="A308" s="2" t="s">
        <v>1993</v>
      </c>
      <c r="B308" s="2" t="s">
        <v>1994</v>
      </c>
      <c r="C308" s="2" t="s">
        <v>61</v>
      </c>
      <c r="D308" s="27">
        <v>45947</v>
      </c>
      <c r="E308" s="2"/>
      <c r="F308" s="2" t="s">
        <v>8</v>
      </c>
      <c r="G308" s="24" t="s">
        <v>591</v>
      </c>
    </row>
    <row r="309" spans="1:7" x14ac:dyDescent="0.2">
      <c r="A309" s="2" t="s">
        <v>1995</v>
      </c>
      <c r="B309" s="2" t="s">
        <v>1996</v>
      </c>
      <c r="C309" s="2" t="s">
        <v>61</v>
      </c>
      <c r="D309" s="27">
        <v>45945</v>
      </c>
      <c r="E309" s="2"/>
      <c r="F309" s="2" t="s">
        <v>8</v>
      </c>
      <c r="G309" s="24" t="s">
        <v>6</v>
      </c>
    </row>
    <row r="310" spans="1:7" x14ac:dyDescent="0.2">
      <c r="A310" s="2" t="s">
        <v>1997</v>
      </c>
      <c r="B310" s="2" t="s">
        <v>1998</v>
      </c>
      <c r="C310" s="2" t="s">
        <v>61</v>
      </c>
      <c r="D310" s="27">
        <v>45950</v>
      </c>
      <c r="E310" s="2"/>
      <c r="F310" s="2" t="s">
        <v>8</v>
      </c>
      <c r="G310" s="24" t="s">
        <v>593</v>
      </c>
    </row>
    <row r="311" spans="1:7" x14ac:dyDescent="0.2">
      <c r="A311" s="2" t="s">
        <v>1999</v>
      </c>
      <c r="B311" s="2" t="s">
        <v>2000</v>
      </c>
      <c r="C311" s="2" t="s">
        <v>61</v>
      </c>
      <c r="D311" s="27">
        <v>45943</v>
      </c>
      <c r="E311" s="2"/>
      <c r="F311" s="2" t="s">
        <v>8</v>
      </c>
      <c r="G311" s="24" t="s">
        <v>6</v>
      </c>
    </row>
    <row r="312" spans="1:7" x14ac:dyDescent="0.2">
      <c r="A312" s="2" t="s">
        <v>2001</v>
      </c>
      <c r="B312" s="2" t="s">
        <v>2002</v>
      </c>
      <c r="C312" s="2" t="s">
        <v>61</v>
      </c>
      <c r="D312" s="27">
        <v>45937</v>
      </c>
      <c r="E312" s="2"/>
      <c r="F312" s="2" t="s">
        <v>8</v>
      </c>
      <c r="G312" s="24" t="s">
        <v>6</v>
      </c>
    </row>
    <row r="313" spans="1:7" x14ac:dyDescent="0.2">
      <c r="A313" s="2" t="s">
        <v>2003</v>
      </c>
      <c r="B313" s="2" t="s">
        <v>2004</v>
      </c>
      <c r="C313" s="2" t="s">
        <v>61</v>
      </c>
      <c r="D313" s="27">
        <v>45946</v>
      </c>
      <c r="E313" s="2"/>
      <c r="F313" s="2" t="s">
        <v>8</v>
      </c>
      <c r="G313" s="24" t="s">
        <v>593</v>
      </c>
    </row>
    <row r="314" spans="1:7" x14ac:dyDescent="0.2">
      <c r="A314" s="2" t="s">
        <v>2005</v>
      </c>
      <c r="B314" s="2" t="s">
        <v>2006</v>
      </c>
      <c r="C314" s="2" t="s">
        <v>61</v>
      </c>
      <c r="D314" s="27">
        <v>45960</v>
      </c>
      <c r="E314" s="2"/>
      <c r="F314" s="2" t="s">
        <v>8</v>
      </c>
      <c r="G314" s="24" t="s">
        <v>1367</v>
      </c>
    </row>
    <row r="315" spans="1:7" x14ac:dyDescent="0.2">
      <c r="A315" s="2" t="s">
        <v>2007</v>
      </c>
      <c r="B315" s="2" t="s">
        <v>2008</v>
      </c>
      <c r="C315" s="2" t="s">
        <v>61</v>
      </c>
      <c r="D315" s="27">
        <v>45960</v>
      </c>
      <c r="E315" s="2"/>
      <c r="F315" s="2" t="s">
        <v>8</v>
      </c>
      <c r="G315" s="24" t="s">
        <v>1368</v>
      </c>
    </row>
    <row r="316" spans="1:7" x14ac:dyDescent="0.2">
      <c r="A316" s="2" t="s">
        <v>2009</v>
      </c>
      <c r="B316" s="2" t="s">
        <v>2010</v>
      </c>
      <c r="C316" s="2" t="s">
        <v>61</v>
      </c>
      <c r="D316" s="27">
        <v>45947</v>
      </c>
      <c r="E316" s="2"/>
      <c r="F316" s="2" t="s">
        <v>8</v>
      </c>
      <c r="G316" s="24" t="s">
        <v>1368</v>
      </c>
    </row>
    <row r="317" spans="1:7" x14ac:dyDescent="0.2">
      <c r="A317" s="2" t="s">
        <v>2011</v>
      </c>
      <c r="B317" s="2" t="s">
        <v>2012</v>
      </c>
      <c r="C317" s="2" t="s">
        <v>61</v>
      </c>
      <c r="D317" s="27">
        <v>45960</v>
      </c>
      <c r="E317" s="2"/>
      <c r="F317" s="2" t="s">
        <v>8</v>
      </c>
      <c r="G317" s="24" t="s">
        <v>1367</v>
      </c>
    </row>
    <row r="318" spans="1:7" x14ac:dyDescent="0.2">
      <c r="A318" s="2" t="s">
        <v>2013</v>
      </c>
      <c r="B318" s="2" t="s">
        <v>2014</v>
      </c>
      <c r="C318" s="2" t="s">
        <v>61</v>
      </c>
      <c r="D318" s="27">
        <v>45931</v>
      </c>
      <c r="E318" s="2"/>
      <c r="F318" s="2" t="s">
        <v>8</v>
      </c>
      <c r="G318" s="24" t="s">
        <v>593</v>
      </c>
    </row>
    <row r="319" spans="1:7" x14ac:dyDescent="0.2">
      <c r="A319" s="2" t="s">
        <v>2015</v>
      </c>
      <c r="B319" s="2" t="s">
        <v>2016</v>
      </c>
      <c r="C319" s="2" t="s">
        <v>61</v>
      </c>
      <c r="D319" s="27">
        <v>45950</v>
      </c>
      <c r="E319" s="2"/>
      <c r="F319" s="2" t="s">
        <v>8</v>
      </c>
      <c r="G319" s="24" t="s">
        <v>3895</v>
      </c>
    </row>
    <row r="320" spans="1:7" x14ac:dyDescent="0.2">
      <c r="A320" s="2" t="s">
        <v>2017</v>
      </c>
      <c r="B320" s="2" t="s">
        <v>2018</v>
      </c>
      <c r="C320" s="2" t="s">
        <v>61</v>
      </c>
      <c r="D320" s="27">
        <v>45961</v>
      </c>
      <c r="E320" s="2"/>
      <c r="F320" s="2" t="s">
        <v>8</v>
      </c>
      <c r="G320" s="24" t="s">
        <v>1368</v>
      </c>
    </row>
    <row r="321" spans="1:7" x14ac:dyDescent="0.2">
      <c r="A321" s="2" t="s">
        <v>2019</v>
      </c>
      <c r="B321" s="2" t="s">
        <v>2020</v>
      </c>
      <c r="C321" s="2" t="s">
        <v>61</v>
      </c>
      <c r="D321" s="27">
        <v>45955</v>
      </c>
      <c r="E321" s="2"/>
      <c r="F321" s="2" t="s">
        <v>8</v>
      </c>
      <c r="G321" s="24" t="s">
        <v>1367</v>
      </c>
    </row>
    <row r="322" spans="1:7" x14ac:dyDescent="0.2">
      <c r="A322" s="2" t="s">
        <v>2021</v>
      </c>
      <c r="B322" s="2" t="s">
        <v>2022</v>
      </c>
      <c r="C322" s="2" t="s">
        <v>61</v>
      </c>
      <c r="D322" s="27">
        <v>45958</v>
      </c>
      <c r="E322" s="2"/>
      <c r="F322" s="2" t="s">
        <v>8</v>
      </c>
      <c r="G322" s="24" t="s">
        <v>593</v>
      </c>
    </row>
    <row r="323" spans="1:7" x14ac:dyDescent="0.2">
      <c r="A323" s="2" t="s">
        <v>2023</v>
      </c>
      <c r="B323" s="2" t="s">
        <v>2024</v>
      </c>
      <c r="C323" s="2" t="s">
        <v>61</v>
      </c>
      <c r="D323" s="27">
        <v>45950</v>
      </c>
      <c r="E323" s="2"/>
      <c r="F323" s="2" t="s">
        <v>8</v>
      </c>
      <c r="G323" s="24" t="s">
        <v>593</v>
      </c>
    </row>
    <row r="324" spans="1:7" x14ac:dyDescent="0.2">
      <c r="A324" s="2" t="s">
        <v>2025</v>
      </c>
      <c r="B324" s="2" t="s">
        <v>2026</v>
      </c>
      <c r="C324" s="2" t="s">
        <v>61</v>
      </c>
      <c r="D324" s="27">
        <v>45961</v>
      </c>
      <c r="E324" s="2"/>
      <c r="F324" s="2" t="s">
        <v>8</v>
      </c>
      <c r="G324" s="24" t="s">
        <v>1368</v>
      </c>
    </row>
    <row r="325" spans="1:7" x14ac:dyDescent="0.2">
      <c r="A325" s="2" t="s">
        <v>2027</v>
      </c>
      <c r="B325" s="2" t="s">
        <v>2028</v>
      </c>
      <c r="C325" s="2" t="s">
        <v>61</v>
      </c>
      <c r="D325" s="27">
        <v>45952</v>
      </c>
      <c r="E325" s="2"/>
      <c r="F325" s="2" t="s">
        <v>8</v>
      </c>
      <c r="G325" s="24" t="s">
        <v>594</v>
      </c>
    </row>
    <row r="326" spans="1:7" x14ac:dyDescent="0.2">
      <c r="A326" s="2" t="s">
        <v>2029</v>
      </c>
      <c r="B326" s="2" t="s">
        <v>2030</v>
      </c>
      <c r="C326" s="2" t="s">
        <v>61</v>
      </c>
      <c r="D326" s="27">
        <v>45958</v>
      </c>
      <c r="E326" s="2"/>
      <c r="F326" s="2" t="s">
        <v>8</v>
      </c>
      <c r="G326" s="24" t="s">
        <v>593</v>
      </c>
    </row>
    <row r="327" spans="1:7" x14ac:dyDescent="0.2">
      <c r="A327" s="2" t="s">
        <v>2031</v>
      </c>
      <c r="B327" s="2" t="s">
        <v>2032</v>
      </c>
      <c r="C327" s="2" t="s">
        <v>61</v>
      </c>
      <c r="D327" s="27">
        <v>45952</v>
      </c>
      <c r="E327" s="2"/>
      <c r="F327" s="2" t="s">
        <v>8</v>
      </c>
      <c r="G327" s="24" t="s">
        <v>3897</v>
      </c>
    </row>
    <row r="328" spans="1:7" x14ac:dyDescent="0.2">
      <c r="A328" s="2" t="s">
        <v>2033</v>
      </c>
      <c r="B328" s="2" t="s">
        <v>2034</v>
      </c>
      <c r="C328" s="2" t="s">
        <v>61</v>
      </c>
      <c r="D328" s="27">
        <v>45947</v>
      </c>
      <c r="E328" s="2"/>
      <c r="F328" s="2" t="s">
        <v>8</v>
      </c>
      <c r="G328" s="24" t="s">
        <v>594</v>
      </c>
    </row>
    <row r="329" spans="1:7" x14ac:dyDescent="0.2">
      <c r="A329" s="2" t="s">
        <v>2035</v>
      </c>
      <c r="B329" s="2" t="s">
        <v>2036</v>
      </c>
      <c r="C329" s="2" t="s">
        <v>61</v>
      </c>
      <c r="D329" s="27">
        <v>45958</v>
      </c>
      <c r="E329" s="2"/>
      <c r="F329" s="2" t="s">
        <v>8</v>
      </c>
      <c r="G329" s="24" t="s">
        <v>79</v>
      </c>
    </row>
    <row r="330" spans="1:7" x14ac:dyDescent="0.2">
      <c r="A330" s="2" t="s">
        <v>2037</v>
      </c>
      <c r="B330" s="2" t="s">
        <v>2038</v>
      </c>
      <c r="C330" s="2" t="s">
        <v>61</v>
      </c>
      <c r="D330" s="27">
        <v>45957</v>
      </c>
      <c r="E330" s="2"/>
      <c r="F330" s="2" t="s">
        <v>8</v>
      </c>
      <c r="G330" s="24" t="s">
        <v>3898</v>
      </c>
    </row>
    <row r="331" spans="1:7" x14ac:dyDescent="0.2">
      <c r="A331" s="2" t="s">
        <v>2039</v>
      </c>
      <c r="B331" s="2" t="s">
        <v>2040</v>
      </c>
      <c r="C331" s="2" t="s">
        <v>61</v>
      </c>
      <c r="D331" s="27">
        <v>45957</v>
      </c>
      <c r="E331" s="2"/>
      <c r="F331" s="2" t="s">
        <v>8</v>
      </c>
      <c r="G331" s="24" t="s">
        <v>79</v>
      </c>
    </row>
    <row r="332" spans="1:7" x14ac:dyDescent="0.2">
      <c r="A332" s="2" t="s">
        <v>2041</v>
      </c>
      <c r="B332" s="2" t="s">
        <v>2042</v>
      </c>
      <c r="C332" s="2" t="s">
        <v>61</v>
      </c>
      <c r="D332" s="27">
        <v>45953</v>
      </c>
      <c r="E332" s="2"/>
      <c r="F332" s="2" t="s">
        <v>8</v>
      </c>
      <c r="G332" s="24" t="s">
        <v>1367</v>
      </c>
    </row>
    <row r="333" spans="1:7" x14ac:dyDescent="0.2">
      <c r="A333" s="2" t="s">
        <v>2043</v>
      </c>
      <c r="B333" s="2" t="s">
        <v>2044</v>
      </c>
      <c r="C333" s="2" t="s">
        <v>61</v>
      </c>
      <c r="D333" s="27">
        <v>45958</v>
      </c>
      <c r="E333" s="2"/>
      <c r="F333" s="2" t="s">
        <v>8</v>
      </c>
      <c r="G333" s="24" t="s">
        <v>1367</v>
      </c>
    </row>
    <row r="334" spans="1:7" x14ac:dyDescent="0.2">
      <c r="A334" s="2" t="s">
        <v>2045</v>
      </c>
      <c r="B334" s="2" t="s">
        <v>2046</v>
      </c>
      <c r="C334" s="2" t="s">
        <v>61</v>
      </c>
      <c r="D334" s="27">
        <v>45932</v>
      </c>
      <c r="E334" s="2"/>
      <c r="F334" s="2" t="s">
        <v>8</v>
      </c>
      <c r="G334" s="24" t="s">
        <v>1368</v>
      </c>
    </row>
    <row r="335" spans="1:7" x14ac:dyDescent="0.2">
      <c r="A335" s="2" t="s">
        <v>2047</v>
      </c>
      <c r="B335" s="2" t="s">
        <v>2048</v>
      </c>
      <c r="C335" s="2" t="s">
        <v>61</v>
      </c>
      <c r="D335" s="27">
        <v>45946</v>
      </c>
      <c r="E335" s="2"/>
      <c r="F335" s="2" t="s">
        <v>8</v>
      </c>
      <c r="G335" s="24" t="s">
        <v>1367</v>
      </c>
    </row>
    <row r="336" spans="1:7" x14ac:dyDescent="0.2">
      <c r="A336" s="2" t="s">
        <v>2049</v>
      </c>
      <c r="B336" s="2" t="s">
        <v>2050</v>
      </c>
      <c r="C336" s="2" t="s">
        <v>61</v>
      </c>
      <c r="D336" s="27">
        <v>45961</v>
      </c>
      <c r="E336" s="2"/>
      <c r="F336" s="2" t="s">
        <v>8</v>
      </c>
      <c r="G336" s="24" t="s">
        <v>594</v>
      </c>
    </row>
    <row r="337" spans="1:7" x14ac:dyDescent="0.2">
      <c r="A337" s="2" t="s">
        <v>2051</v>
      </c>
      <c r="B337" s="2" t="s">
        <v>2052</v>
      </c>
      <c r="C337" s="2" t="s">
        <v>61</v>
      </c>
      <c r="D337" s="27">
        <v>45958</v>
      </c>
      <c r="E337" s="2"/>
      <c r="F337" s="2" t="s">
        <v>8</v>
      </c>
      <c r="G337" s="24" t="s">
        <v>3899</v>
      </c>
    </row>
    <row r="338" spans="1:7" x14ac:dyDescent="0.2">
      <c r="A338" s="2" t="s">
        <v>2053</v>
      </c>
      <c r="B338" s="2" t="s">
        <v>2054</v>
      </c>
      <c r="C338" s="2" t="s">
        <v>61</v>
      </c>
      <c r="D338" s="27">
        <v>45943</v>
      </c>
      <c r="E338" s="2"/>
      <c r="F338" s="2" t="s">
        <v>8</v>
      </c>
      <c r="G338" s="24" t="s">
        <v>594</v>
      </c>
    </row>
    <row r="339" spans="1:7" x14ac:dyDescent="0.2">
      <c r="A339" s="2" t="s">
        <v>2055</v>
      </c>
      <c r="B339" s="2" t="s">
        <v>2056</v>
      </c>
      <c r="C339" s="2" t="s">
        <v>61</v>
      </c>
      <c r="D339" s="27">
        <v>45958</v>
      </c>
      <c r="E339" s="2"/>
      <c r="F339" s="2" t="s">
        <v>8</v>
      </c>
      <c r="G339" s="24" t="s">
        <v>3895</v>
      </c>
    </row>
    <row r="340" spans="1:7" x14ac:dyDescent="0.2">
      <c r="A340" s="2" t="s">
        <v>2057</v>
      </c>
      <c r="B340" s="2" t="s">
        <v>2058</v>
      </c>
      <c r="C340" s="2" t="s">
        <v>61</v>
      </c>
      <c r="D340" s="27">
        <v>45953</v>
      </c>
      <c r="E340" s="2"/>
      <c r="F340" s="2" t="s">
        <v>8</v>
      </c>
      <c r="G340" s="24" t="s">
        <v>3899</v>
      </c>
    </row>
    <row r="341" spans="1:7" x14ac:dyDescent="0.2">
      <c r="A341" s="2" t="s">
        <v>2059</v>
      </c>
      <c r="B341" s="2" t="s">
        <v>2060</v>
      </c>
      <c r="C341" s="2" t="s">
        <v>61</v>
      </c>
      <c r="D341" s="27">
        <v>45947</v>
      </c>
      <c r="E341" s="2"/>
      <c r="F341" s="2" t="s">
        <v>8</v>
      </c>
      <c r="G341" s="24" t="s">
        <v>594</v>
      </c>
    </row>
    <row r="342" spans="1:7" x14ac:dyDescent="0.2">
      <c r="A342" s="2" t="s">
        <v>2061</v>
      </c>
      <c r="B342" s="2" t="s">
        <v>2062</v>
      </c>
      <c r="C342" s="2" t="s">
        <v>61</v>
      </c>
      <c r="D342" s="27">
        <v>45961</v>
      </c>
      <c r="E342" s="2"/>
      <c r="F342" s="2" t="s">
        <v>8</v>
      </c>
      <c r="G342" s="24" t="s">
        <v>1365</v>
      </c>
    </row>
    <row r="343" spans="1:7" x14ac:dyDescent="0.2">
      <c r="A343" s="2" t="s">
        <v>2063</v>
      </c>
      <c r="B343" s="2" t="s">
        <v>2064</v>
      </c>
      <c r="C343" s="2" t="s">
        <v>61</v>
      </c>
      <c r="D343" s="27">
        <v>45957</v>
      </c>
      <c r="E343" s="2"/>
      <c r="F343" s="2" t="s">
        <v>8</v>
      </c>
      <c r="G343" s="24" t="s">
        <v>3895</v>
      </c>
    </row>
    <row r="344" spans="1:7" x14ac:dyDescent="0.2">
      <c r="A344" s="2" t="s">
        <v>2065</v>
      </c>
      <c r="B344" s="2" t="s">
        <v>2066</v>
      </c>
      <c r="C344" s="2" t="s">
        <v>61</v>
      </c>
      <c r="D344" s="27">
        <v>45957</v>
      </c>
      <c r="E344" s="2"/>
      <c r="F344" s="2" t="s">
        <v>8</v>
      </c>
      <c r="G344" s="24" t="s">
        <v>593</v>
      </c>
    </row>
    <row r="345" spans="1:7" x14ac:dyDescent="0.2">
      <c r="A345" s="2" t="s">
        <v>2067</v>
      </c>
      <c r="B345" s="2" t="s">
        <v>2068</v>
      </c>
      <c r="C345" s="2" t="s">
        <v>61</v>
      </c>
      <c r="D345" s="27">
        <v>45957</v>
      </c>
      <c r="E345" s="2"/>
      <c r="F345" s="2" t="s">
        <v>8</v>
      </c>
      <c r="G345" s="24" t="s">
        <v>3898</v>
      </c>
    </row>
    <row r="346" spans="1:7" x14ac:dyDescent="0.2">
      <c r="A346" s="2" t="s">
        <v>2069</v>
      </c>
      <c r="B346" s="2" t="s">
        <v>2070</v>
      </c>
      <c r="C346" s="2" t="s">
        <v>61</v>
      </c>
      <c r="D346" s="27">
        <v>45959</v>
      </c>
      <c r="E346" s="2"/>
      <c r="F346" s="2" t="s">
        <v>8</v>
      </c>
      <c r="G346" s="24" t="s">
        <v>1367</v>
      </c>
    </row>
    <row r="347" spans="1:7" x14ac:dyDescent="0.2">
      <c r="A347" s="2" t="s">
        <v>2071</v>
      </c>
      <c r="B347" s="2" t="s">
        <v>2072</v>
      </c>
      <c r="C347" s="2" t="s">
        <v>61</v>
      </c>
      <c r="D347" s="27">
        <v>45951</v>
      </c>
      <c r="E347" s="2"/>
      <c r="F347" s="2" t="s">
        <v>8</v>
      </c>
      <c r="G347" s="24" t="s">
        <v>593</v>
      </c>
    </row>
    <row r="348" spans="1:7" x14ac:dyDescent="0.2">
      <c r="A348" s="2" t="s">
        <v>2073</v>
      </c>
      <c r="B348" s="2" t="s">
        <v>2074</v>
      </c>
      <c r="C348" s="2" t="s">
        <v>61</v>
      </c>
      <c r="D348" s="27">
        <v>45946</v>
      </c>
      <c r="E348" s="2"/>
      <c r="F348" s="2" t="s">
        <v>8</v>
      </c>
      <c r="G348" s="24" t="s">
        <v>1368</v>
      </c>
    </row>
    <row r="349" spans="1:7" x14ac:dyDescent="0.2">
      <c r="A349" s="2" t="s">
        <v>2075</v>
      </c>
      <c r="B349" s="2" t="s">
        <v>2076</v>
      </c>
      <c r="C349" s="2" t="s">
        <v>61</v>
      </c>
      <c r="D349" s="27">
        <v>45939</v>
      </c>
      <c r="E349" s="2"/>
      <c r="F349" s="2" t="s">
        <v>8</v>
      </c>
      <c r="G349" s="24" t="s">
        <v>593</v>
      </c>
    </row>
    <row r="350" spans="1:7" x14ac:dyDescent="0.2">
      <c r="A350" s="2" t="s">
        <v>2077</v>
      </c>
      <c r="B350" s="2" t="s">
        <v>2078</v>
      </c>
      <c r="C350" s="2" t="s">
        <v>61</v>
      </c>
      <c r="D350" s="27">
        <v>45943</v>
      </c>
      <c r="E350" s="2"/>
      <c r="F350" s="2" t="s">
        <v>8</v>
      </c>
      <c r="G350" s="24" t="s">
        <v>1368</v>
      </c>
    </row>
    <row r="351" spans="1:7" x14ac:dyDescent="0.2">
      <c r="A351" s="2" t="s">
        <v>2079</v>
      </c>
      <c r="B351" s="2" t="s">
        <v>2080</v>
      </c>
      <c r="C351" s="2" t="s">
        <v>61</v>
      </c>
      <c r="D351" s="27">
        <v>45943</v>
      </c>
      <c r="E351" s="2"/>
      <c r="F351" s="2" t="s">
        <v>8</v>
      </c>
      <c r="G351" s="24" t="s">
        <v>1368</v>
      </c>
    </row>
    <row r="352" spans="1:7" x14ac:dyDescent="0.2">
      <c r="A352" s="2" t="s">
        <v>2081</v>
      </c>
      <c r="B352" s="2" t="s">
        <v>2082</v>
      </c>
      <c r="C352" s="2" t="s">
        <v>61</v>
      </c>
      <c r="D352" s="27">
        <v>45957</v>
      </c>
      <c r="E352" s="2"/>
      <c r="F352" s="2" t="s">
        <v>8</v>
      </c>
      <c r="G352" s="24" t="s">
        <v>593</v>
      </c>
    </row>
    <row r="353" spans="1:7" x14ac:dyDescent="0.2">
      <c r="A353" s="2" t="s">
        <v>2083</v>
      </c>
      <c r="B353" s="2" t="s">
        <v>2084</v>
      </c>
      <c r="C353" s="2" t="s">
        <v>61</v>
      </c>
      <c r="D353" s="27">
        <v>45961</v>
      </c>
      <c r="E353" s="2"/>
      <c r="F353" s="2" t="s">
        <v>8</v>
      </c>
      <c r="G353" s="24" t="s">
        <v>3900</v>
      </c>
    </row>
    <row r="354" spans="1:7" x14ac:dyDescent="0.2">
      <c r="A354" s="2" t="s">
        <v>2085</v>
      </c>
      <c r="B354" s="2" t="s">
        <v>2086</v>
      </c>
      <c r="C354" s="2" t="s">
        <v>61</v>
      </c>
      <c r="D354" s="27">
        <v>45936</v>
      </c>
      <c r="E354" s="2"/>
      <c r="F354" s="2" t="s">
        <v>8</v>
      </c>
      <c r="G354" s="24" t="s">
        <v>594</v>
      </c>
    </row>
    <row r="355" spans="1:7" x14ac:dyDescent="0.2">
      <c r="A355" s="2" t="s">
        <v>2087</v>
      </c>
      <c r="B355" s="2" t="s">
        <v>2088</v>
      </c>
      <c r="C355" s="2" t="s">
        <v>61</v>
      </c>
      <c r="D355" s="27">
        <v>45959</v>
      </c>
      <c r="E355" s="2"/>
      <c r="F355" s="2" t="s">
        <v>8</v>
      </c>
      <c r="G355" s="24" t="s">
        <v>3899</v>
      </c>
    </row>
    <row r="356" spans="1:7" x14ac:dyDescent="0.2">
      <c r="A356" s="2" t="s">
        <v>2089</v>
      </c>
      <c r="B356" s="2" t="s">
        <v>2090</v>
      </c>
      <c r="C356" s="2" t="s">
        <v>61</v>
      </c>
      <c r="D356" s="27">
        <v>45954</v>
      </c>
      <c r="E356" s="2"/>
      <c r="F356" s="2" t="s">
        <v>8</v>
      </c>
      <c r="G356" s="24" t="s">
        <v>593</v>
      </c>
    </row>
    <row r="357" spans="1:7" x14ac:dyDescent="0.2">
      <c r="A357" s="2" t="s">
        <v>2091</v>
      </c>
      <c r="B357" s="2" t="s">
        <v>2092</v>
      </c>
      <c r="C357" s="2" t="s">
        <v>61</v>
      </c>
      <c r="D357" s="27">
        <v>45952</v>
      </c>
      <c r="E357" s="2"/>
      <c r="F357" s="2" t="s">
        <v>8</v>
      </c>
      <c r="G357" s="24" t="s">
        <v>1367</v>
      </c>
    </row>
    <row r="358" spans="1:7" x14ac:dyDescent="0.2">
      <c r="A358" s="2" t="s">
        <v>2093</v>
      </c>
      <c r="B358" s="2" t="s">
        <v>2094</v>
      </c>
      <c r="C358" s="2" t="s">
        <v>61</v>
      </c>
      <c r="D358" s="27">
        <v>45952</v>
      </c>
      <c r="E358" s="2"/>
      <c r="F358" s="2" t="s">
        <v>8</v>
      </c>
      <c r="G358" s="24" t="s">
        <v>3895</v>
      </c>
    </row>
    <row r="359" spans="1:7" x14ac:dyDescent="0.2">
      <c r="A359" s="2" t="s">
        <v>2095</v>
      </c>
      <c r="B359" s="2" t="s">
        <v>2096</v>
      </c>
      <c r="C359" s="2" t="s">
        <v>61</v>
      </c>
      <c r="D359" s="27">
        <v>45957</v>
      </c>
      <c r="E359" s="2"/>
      <c r="F359" s="2" t="s">
        <v>8</v>
      </c>
      <c r="G359" s="24" t="s">
        <v>593</v>
      </c>
    </row>
    <row r="360" spans="1:7" x14ac:dyDescent="0.2">
      <c r="A360" s="2" t="s">
        <v>2097</v>
      </c>
      <c r="B360" s="2" t="s">
        <v>2098</v>
      </c>
      <c r="C360" s="2" t="s">
        <v>61</v>
      </c>
      <c r="D360" s="27">
        <v>45961</v>
      </c>
      <c r="E360" s="2"/>
      <c r="F360" s="2" t="s">
        <v>8</v>
      </c>
      <c r="G360" s="24" t="s">
        <v>3899</v>
      </c>
    </row>
    <row r="361" spans="1:7" x14ac:dyDescent="0.2">
      <c r="A361" s="2" t="s">
        <v>2099</v>
      </c>
      <c r="B361" s="2" t="s">
        <v>2100</v>
      </c>
      <c r="C361" s="2" t="s">
        <v>61</v>
      </c>
      <c r="D361" s="27">
        <v>45957</v>
      </c>
      <c r="E361" s="2"/>
      <c r="F361" s="2" t="s">
        <v>8</v>
      </c>
      <c r="G361" s="24" t="s">
        <v>3899</v>
      </c>
    </row>
    <row r="362" spans="1:7" x14ac:dyDescent="0.2">
      <c r="A362" s="2" t="s">
        <v>2101</v>
      </c>
      <c r="B362" s="2" t="s">
        <v>2102</v>
      </c>
      <c r="C362" s="2" t="s">
        <v>61</v>
      </c>
      <c r="D362" s="27">
        <v>45952</v>
      </c>
      <c r="E362" s="2"/>
      <c r="F362" s="2" t="s">
        <v>8</v>
      </c>
      <c r="G362" s="24" t="s">
        <v>3897</v>
      </c>
    </row>
    <row r="363" spans="1:7" x14ac:dyDescent="0.2">
      <c r="A363" s="2" t="s">
        <v>2103</v>
      </c>
      <c r="B363" s="2" t="s">
        <v>2104</v>
      </c>
      <c r="C363" s="2" t="s">
        <v>61</v>
      </c>
      <c r="D363" s="27">
        <v>45957</v>
      </c>
      <c r="E363" s="2"/>
      <c r="F363" s="2" t="s">
        <v>8</v>
      </c>
      <c r="G363" s="24" t="s">
        <v>3901</v>
      </c>
    </row>
    <row r="364" spans="1:7" x14ac:dyDescent="0.2">
      <c r="A364" s="2" t="s">
        <v>2105</v>
      </c>
      <c r="B364" s="2" t="s">
        <v>2106</v>
      </c>
      <c r="C364" s="2" t="s">
        <v>61</v>
      </c>
      <c r="D364" s="27">
        <v>45937</v>
      </c>
      <c r="E364" s="2"/>
      <c r="F364" s="2" t="s">
        <v>8</v>
      </c>
      <c r="G364" s="24" t="s">
        <v>1367</v>
      </c>
    </row>
    <row r="365" spans="1:7" x14ac:dyDescent="0.2">
      <c r="A365" s="2" t="s">
        <v>2107</v>
      </c>
      <c r="B365" s="2" t="s">
        <v>2108</v>
      </c>
      <c r="C365" s="2" t="s">
        <v>61</v>
      </c>
      <c r="D365" s="27">
        <v>45952</v>
      </c>
      <c r="E365" s="2"/>
      <c r="F365" s="2" t="s">
        <v>8</v>
      </c>
      <c r="G365" s="24" t="s">
        <v>95</v>
      </c>
    </row>
    <row r="366" spans="1:7" x14ac:dyDescent="0.2">
      <c r="A366" s="2" t="s">
        <v>2109</v>
      </c>
      <c r="B366" s="2" t="s">
        <v>2110</v>
      </c>
      <c r="C366" s="2" t="s">
        <v>61</v>
      </c>
      <c r="D366" s="27">
        <v>45957</v>
      </c>
      <c r="E366" s="2"/>
      <c r="F366" s="2" t="s">
        <v>8</v>
      </c>
      <c r="G366" s="24" t="s">
        <v>1367</v>
      </c>
    </row>
    <row r="367" spans="1:7" x14ac:dyDescent="0.2">
      <c r="A367" s="2" t="s">
        <v>2111</v>
      </c>
      <c r="B367" s="2" t="s">
        <v>2112</v>
      </c>
      <c r="C367" s="2" t="s">
        <v>61</v>
      </c>
      <c r="D367" s="27">
        <v>45937</v>
      </c>
      <c r="E367" s="2"/>
      <c r="F367" s="2" t="s">
        <v>8</v>
      </c>
      <c r="G367" s="24" t="s">
        <v>1367</v>
      </c>
    </row>
    <row r="368" spans="1:7" x14ac:dyDescent="0.2">
      <c r="A368" s="2" t="s">
        <v>2113</v>
      </c>
      <c r="B368" s="2" t="s">
        <v>2114</v>
      </c>
      <c r="C368" s="2" t="s">
        <v>61</v>
      </c>
      <c r="D368" s="27">
        <v>45953</v>
      </c>
      <c r="E368" s="2"/>
      <c r="F368" s="2" t="s">
        <v>8</v>
      </c>
      <c r="G368" s="24" t="s">
        <v>593</v>
      </c>
    </row>
    <row r="369" spans="1:7" x14ac:dyDescent="0.2">
      <c r="A369" s="2" t="s">
        <v>2115</v>
      </c>
      <c r="B369" s="2" t="s">
        <v>2116</v>
      </c>
      <c r="C369" s="2" t="s">
        <v>61</v>
      </c>
      <c r="D369" s="27">
        <v>45950</v>
      </c>
      <c r="E369" s="2"/>
      <c r="F369" s="2" t="s">
        <v>8</v>
      </c>
      <c r="G369" s="24" t="s">
        <v>593</v>
      </c>
    </row>
    <row r="370" spans="1:7" x14ac:dyDescent="0.2">
      <c r="A370" s="2" t="s">
        <v>2117</v>
      </c>
      <c r="B370" s="2" t="s">
        <v>2118</v>
      </c>
      <c r="C370" s="2" t="s">
        <v>61</v>
      </c>
      <c r="D370" s="27">
        <v>45959</v>
      </c>
      <c r="E370" s="2"/>
      <c r="F370" s="2" t="s">
        <v>8</v>
      </c>
      <c r="G370" s="24" t="s">
        <v>3898</v>
      </c>
    </row>
    <row r="371" spans="1:7" x14ac:dyDescent="0.2">
      <c r="A371" s="2" t="s">
        <v>2119</v>
      </c>
      <c r="B371" s="2" t="s">
        <v>2120</v>
      </c>
      <c r="C371" s="2" t="s">
        <v>61</v>
      </c>
      <c r="D371" s="27">
        <v>45961</v>
      </c>
      <c r="E371" s="2"/>
      <c r="F371" s="2" t="s">
        <v>8</v>
      </c>
      <c r="G371" s="24" t="s">
        <v>1368</v>
      </c>
    </row>
    <row r="372" spans="1:7" x14ac:dyDescent="0.2">
      <c r="A372" s="2" t="s">
        <v>2121</v>
      </c>
      <c r="B372" s="2" t="s">
        <v>2122</v>
      </c>
      <c r="C372" s="2" t="s">
        <v>61</v>
      </c>
      <c r="D372" s="27">
        <v>45937</v>
      </c>
      <c r="E372" s="2"/>
      <c r="F372" s="2" t="s">
        <v>8</v>
      </c>
      <c r="G372" s="24" t="s">
        <v>593</v>
      </c>
    </row>
    <row r="373" spans="1:7" x14ac:dyDescent="0.2">
      <c r="A373" s="2" t="s">
        <v>2123</v>
      </c>
      <c r="B373" s="2" t="s">
        <v>2124</v>
      </c>
      <c r="C373" s="2" t="s">
        <v>61</v>
      </c>
      <c r="D373" s="27">
        <v>45958</v>
      </c>
      <c r="E373" s="2"/>
      <c r="F373" s="2" t="s">
        <v>8</v>
      </c>
      <c r="G373" s="24" t="s">
        <v>3899</v>
      </c>
    </row>
    <row r="374" spans="1:7" x14ac:dyDescent="0.2">
      <c r="A374" s="2" t="s">
        <v>2125</v>
      </c>
      <c r="B374" s="2" t="s">
        <v>2126</v>
      </c>
      <c r="C374" s="2" t="s">
        <v>61</v>
      </c>
      <c r="D374" s="27">
        <v>45961</v>
      </c>
      <c r="E374" s="2"/>
      <c r="F374" s="2" t="s">
        <v>8</v>
      </c>
      <c r="G374" s="24" t="s">
        <v>3898</v>
      </c>
    </row>
    <row r="375" spans="1:7" x14ac:dyDescent="0.2">
      <c r="A375" s="2" t="s">
        <v>2127</v>
      </c>
      <c r="B375" s="2" t="s">
        <v>2128</v>
      </c>
      <c r="C375" s="2" t="s">
        <v>61</v>
      </c>
      <c r="D375" s="27">
        <v>45961</v>
      </c>
      <c r="E375" s="2"/>
      <c r="F375" s="2" t="s">
        <v>8</v>
      </c>
      <c r="G375" s="24" t="s">
        <v>1368</v>
      </c>
    </row>
    <row r="376" spans="1:7" x14ac:dyDescent="0.2">
      <c r="A376" s="2" t="s">
        <v>2129</v>
      </c>
      <c r="B376" s="2" t="s">
        <v>2130</v>
      </c>
      <c r="C376" s="2" t="s">
        <v>61</v>
      </c>
      <c r="D376" s="27">
        <v>45959</v>
      </c>
      <c r="E376" s="2"/>
      <c r="F376" s="2" t="s">
        <v>8</v>
      </c>
      <c r="G376" s="24" t="s">
        <v>593</v>
      </c>
    </row>
    <row r="377" spans="1:7" x14ac:dyDescent="0.2">
      <c r="A377" s="2" t="s">
        <v>2131</v>
      </c>
      <c r="B377" s="2" t="s">
        <v>2132</v>
      </c>
      <c r="C377" s="2" t="s">
        <v>61</v>
      </c>
      <c r="D377" s="27">
        <v>45958</v>
      </c>
      <c r="E377" s="2"/>
      <c r="F377" s="2" t="s">
        <v>8</v>
      </c>
      <c r="G377" s="24" t="s">
        <v>594</v>
      </c>
    </row>
    <row r="378" spans="1:7" x14ac:dyDescent="0.2">
      <c r="A378" s="2" t="s">
        <v>2133</v>
      </c>
      <c r="B378" s="2" t="s">
        <v>2134</v>
      </c>
      <c r="C378" s="2" t="s">
        <v>61</v>
      </c>
      <c r="D378" s="27">
        <v>45957</v>
      </c>
      <c r="E378" s="2"/>
      <c r="F378" s="2" t="s">
        <v>8</v>
      </c>
      <c r="G378" s="24" t="s">
        <v>95</v>
      </c>
    </row>
    <row r="379" spans="1:7" x14ac:dyDescent="0.2">
      <c r="A379" s="2" t="s">
        <v>2135</v>
      </c>
      <c r="B379" s="2" t="s">
        <v>2136</v>
      </c>
      <c r="C379" s="2" t="s">
        <v>61</v>
      </c>
      <c r="D379" s="27">
        <v>45958</v>
      </c>
      <c r="E379" s="2"/>
      <c r="F379" s="2" t="s">
        <v>8</v>
      </c>
      <c r="G379" s="24" t="s">
        <v>58</v>
      </c>
    </row>
    <row r="380" spans="1:7" x14ac:dyDescent="0.2">
      <c r="A380" s="2" t="s">
        <v>2137</v>
      </c>
      <c r="B380" s="2" t="s">
        <v>2138</v>
      </c>
      <c r="C380" s="2" t="s">
        <v>61</v>
      </c>
      <c r="D380" s="27">
        <v>45961</v>
      </c>
      <c r="E380" s="2"/>
      <c r="F380" s="2" t="s">
        <v>8</v>
      </c>
      <c r="G380" s="24" t="s">
        <v>593</v>
      </c>
    </row>
    <row r="381" spans="1:7" x14ac:dyDescent="0.2">
      <c r="A381" s="2" t="s">
        <v>2139</v>
      </c>
      <c r="B381" s="2" t="s">
        <v>2140</v>
      </c>
      <c r="C381" s="2" t="s">
        <v>61</v>
      </c>
      <c r="D381" s="27">
        <v>45952</v>
      </c>
      <c r="E381" s="2"/>
      <c r="F381" s="2" t="s">
        <v>8</v>
      </c>
      <c r="G381" s="24" t="s">
        <v>594</v>
      </c>
    </row>
    <row r="382" spans="1:7" x14ac:dyDescent="0.2">
      <c r="A382" s="2" t="s">
        <v>2141</v>
      </c>
      <c r="B382" s="2" t="s">
        <v>2142</v>
      </c>
      <c r="C382" s="2" t="s">
        <v>61</v>
      </c>
      <c r="D382" s="27">
        <v>45953</v>
      </c>
      <c r="E382" s="2"/>
      <c r="F382" s="2" t="s">
        <v>8</v>
      </c>
      <c r="G382" s="24" t="s">
        <v>594</v>
      </c>
    </row>
    <row r="383" spans="1:7" x14ac:dyDescent="0.2">
      <c r="A383" s="2" t="s">
        <v>2143</v>
      </c>
      <c r="B383" s="2" t="s">
        <v>2144</v>
      </c>
      <c r="C383" s="2" t="s">
        <v>61</v>
      </c>
      <c r="D383" s="27">
        <v>45957</v>
      </c>
      <c r="E383" s="2"/>
      <c r="F383" s="2" t="s">
        <v>8</v>
      </c>
      <c r="G383" s="24" t="s">
        <v>1368</v>
      </c>
    </row>
    <row r="384" spans="1:7" x14ac:dyDescent="0.2">
      <c r="A384" s="2" t="s">
        <v>2145</v>
      </c>
      <c r="B384" s="2" t="s">
        <v>2146</v>
      </c>
      <c r="C384" s="2" t="s">
        <v>61</v>
      </c>
      <c r="D384" s="27">
        <v>45957</v>
      </c>
      <c r="E384" s="2"/>
      <c r="F384" s="2" t="s">
        <v>8</v>
      </c>
      <c r="G384" s="24" t="s">
        <v>1367</v>
      </c>
    </row>
    <row r="385" spans="1:7" x14ac:dyDescent="0.2">
      <c r="A385" s="2" t="s">
        <v>2147</v>
      </c>
      <c r="B385" s="2" t="s">
        <v>2148</v>
      </c>
      <c r="C385" s="2" t="s">
        <v>61</v>
      </c>
      <c r="D385" s="27">
        <v>45954</v>
      </c>
      <c r="E385" s="2"/>
      <c r="F385" s="2" t="s">
        <v>8</v>
      </c>
      <c r="G385" s="24" t="s">
        <v>593</v>
      </c>
    </row>
    <row r="386" spans="1:7" x14ac:dyDescent="0.2">
      <c r="A386" s="2" t="s">
        <v>2149</v>
      </c>
      <c r="B386" s="2" t="s">
        <v>2150</v>
      </c>
      <c r="C386" s="2" t="s">
        <v>61</v>
      </c>
      <c r="D386" s="27">
        <v>45954</v>
      </c>
      <c r="E386" s="2"/>
      <c r="F386" s="2" t="s">
        <v>8</v>
      </c>
      <c r="G386" s="24" t="s">
        <v>594</v>
      </c>
    </row>
    <row r="387" spans="1:7" x14ac:dyDescent="0.2">
      <c r="A387" s="2" t="s">
        <v>2151</v>
      </c>
      <c r="B387" s="2" t="s">
        <v>2152</v>
      </c>
      <c r="C387" s="2" t="s">
        <v>61</v>
      </c>
      <c r="D387" s="27">
        <v>45937</v>
      </c>
      <c r="E387" s="2"/>
      <c r="F387" s="2" t="s">
        <v>8</v>
      </c>
      <c r="G387" s="24" t="s">
        <v>59</v>
      </c>
    </row>
    <row r="388" spans="1:7" x14ac:dyDescent="0.2">
      <c r="A388" s="2" t="s">
        <v>2153</v>
      </c>
      <c r="B388" s="2" t="s">
        <v>2154</v>
      </c>
      <c r="C388" s="2" t="s">
        <v>61</v>
      </c>
      <c r="D388" s="27">
        <v>45961</v>
      </c>
      <c r="E388" s="2"/>
      <c r="F388" s="2" t="s">
        <v>8</v>
      </c>
      <c r="G388" s="24" t="s">
        <v>1367</v>
      </c>
    </row>
    <row r="389" spans="1:7" x14ac:dyDescent="0.2">
      <c r="A389" s="2" t="s">
        <v>2155</v>
      </c>
      <c r="B389" s="2" t="s">
        <v>2156</v>
      </c>
      <c r="C389" s="2" t="s">
        <v>61</v>
      </c>
      <c r="D389" s="27">
        <v>45956</v>
      </c>
      <c r="E389" s="2"/>
      <c r="F389" s="2" t="s">
        <v>8</v>
      </c>
      <c r="G389" s="24" t="s">
        <v>1365</v>
      </c>
    </row>
    <row r="390" spans="1:7" x14ac:dyDescent="0.2">
      <c r="A390" s="2" t="s">
        <v>2157</v>
      </c>
      <c r="B390" s="2" t="s">
        <v>2158</v>
      </c>
      <c r="C390" s="2" t="s">
        <v>61</v>
      </c>
      <c r="D390" s="27">
        <v>45951</v>
      </c>
      <c r="E390" s="2"/>
      <c r="F390" s="2" t="s">
        <v>8</v>
      </c>
      <c r="G390" s="24" t="s">
        <v>3899</v>
      </c>
    </row>
    <row r="391" spans="1:7" x14ac:dyDescent="0.2">
      <c r="A391" s="2" t="s">
        <v>2159</v>
      </c>
      <c r="B391" s="2" t="s">
        <v>2160</v>
      </c>
      <c r="C391" s="2" t="s">
        <v>61</v>
      </c>
      <c r="D391" s="27">
        <v>45945</v>
      </c>
      <c r="E391" s="2"/>
      <c r="F391" s="2" t="s">
        <v>8</v>
      </c>
      <c r="G391" s="24" t="s">
        <v>1367</v>
      </c>
    </row>
    <row r="392" spans="1:7" x14ac:dyDescent="0.2">
      <c r="A392" s="2" t="s">
        <v>2161</v>
      </c>
      <c r="B392" s="2" t="s">
        <v>2162</v>
      </c>
      <c r="C392" s="2" t="s">
        <v>61</v>
      </c>
      <c r="D392" s="27">
        <v>45957</v>
      </c>
      <c r="E392" s="2"/>
      <c r="F392" s="2" t="s">
        <v>8</v>
      </c>
      <c r="G392" s="24" t="s">
        <v>1367</v>
      </c>
    </row>
    <row r="393" spans="1:7" x14ac:dyDescent="0.2">
      <c r="A393" s="2" t="s">
        <v>2163</v>
      </c>
      <c r="B393" s="2" t="s">
        <v>2164</v>
      </c>
      <c r="C393" s="2" t="s">
        <v>61</v>
      </c>
      <c r="D393" s="27">
        <v>45946</v>
      </c>
      <c r="E393" s="2"/>
      <c r="F393" s="2" t="s">
        <v>8</v>
      </c>
      <c r="G393" s="24" t="s">
        <v>59</v>
      </c>
    </row>
    <row r="394" spans="1:7" x14ac:dyDescent="0.2">
      <c r="A394" s="2" t="s">
        <v>2165</v>
      </c>
      <c r="B394" s="2" t="s">
        <v>2166</v>
      </c>
      <c r="C394" s="2" t="s">
        <v>61</v>
      </c>
      <c r="D394" s="27">
        <v>45953</v>
      </c>
      <c r="E394" s="2"/>
      <c r="F394" s="2" t="s">
        <v>8</v>
      </c>
      <c r="G394" s="24" t="s">
        <v>1368</v>
      </c>
    </row>
    <row r="395" spans="1:7" x14ac:dyDescent="0.2">
      <c r="A395" s="2" t="s">
        <v>2167</v>
      </c>
      <c r="B395" s="2" t="s">
        <v>2168</v>
      </c>
      <c r="C395" s="2" t="s">
        <v>61</v>
      </c>
      <c r="D395" s="27">
        <v>45960</v>
      </c>
      <c r="E395" s="2"/>
      <c r="F395" s="2" t="s">
        <v>8</v>
      </c>
      <c r="G395" s="24" t="s">
        <v>1367</v>
      </c>
    </row>
    <row r="396" spans="1:7" x14ac:dyDescent="0.2">
      <c r="A396" s="2" t="s">
        <v>2169</v>
      </c>
      <c r="B396" s="2" t="s">
        <v>2170</v>
      </c>
      <c r="C396" s="2" t="s">
        <v>61</v>
      </c>
      <c r="D396" s="27">
        <v>45945</v>
      </c>
      <c r="E396" s="2"/>
      <c r="F396" s="2" t="s">
        <v>8</v>
      </c>
      <c r="G396" s="24" t="s">
        <v>593</v>
      </c>
    </row>
    <row r="397" spans="1:7" x14ac:dyDescent="0.2">
      <c r="A397" s="2" t="s">
        <v>2171</v>
      </c>
      <c r="B397" s="2" t="s">
        <v>2172</v>
      </c>
      <c r="C397" s="2" t="s">
        <v>61</v>
      </c>
      <c r="D397" s="27">
        <v>45961</v>
      </c>
      <c r="E397" s="2"/>
      <c r="F397" s="2" t="s">
        <v>8</v>
      </c>
      <c r="G397" s="24" t="s">
        <v>1368</v>
      </c>
    </row>
    <row r="398" spans="1:7" x14ac:dyDescent="0.2">
      <c r="A398" s="2" t="s">
        <v>2173</v>
      </c>
      <c r="B398" s="2" t="s">
        <v>2174</v>
      </c>
      <c r="C398" s="2" t="s">
        <v>61</v>
      </c>
      <c r="D398" s="27">
        <v>45961</v>
      </c>
      <c r="E398" s="2"/>
      <c r="F398" s="2" t="s">
        <v>8</v>
      </c>
      <c r="G398" s="24" t="s">
        <v>3900</v>
      </c>
    </row>
    <row r="399" spans="1:7" x14ac:dyDescent="0.2">
      <c r="A399" s="2" t="s">
        <v>2175</v>
      </c>
      <c r="B399" s="2" t="s">
        <v>2176</v>
      </c>
      <c r="C399" s="2" t="s">
        <v>61</v>
      </c>
      <c r="D399" s="27">
        <v>45958</v>
      </c>
      <c r="E399" s="2"/>
      <c r="F399" s="2" t="s">
        <v>8</v>
      </c>
      <c r="G399" s="24" t="s">
        <v>3898</v>
      </c>
    </row>
    <row r="400" spans="1:7" x14ac:dyDescent="0.2">
      <c r="A400" s="2" t="s">
        <v>2177</v>
      </c>
      <c r="B400" s="2" t="s">
        <v>2178</v>
      </c>
      <c r="C400" s="2" t="s">
        <v>61</v>
      </c>
      <c r="D400" s="27">
        <v>45958</v>
      </c>
      <c r="E400" s="2"/>
      <c r="F400" s="2" t="s">
        <v>8</v>
      </c>
      <c r="G400" s="24" t="s">
        <v>593</v>
      </c>
    </row>
    <row r="401" spans="1:7" x14ac:dyDescent="0.2">
      <c r="A401" s="2" t="s">
        <v>2179</v>
      </c>
      <c r="B401" s="2" t="s">
        <v>2180</v>
      </c>
      <c r="C401" s="2" t="s">
        <v>61</v>
      </c>
      <c r="D401" s="27">
        <v>45957</v>
      </c>
      <c r="E401" s="2"/>
      <c r="F401" s="2" t="s">
        <v>8</v>
      </c>
      <c r="G401" s="24" t="s">
        <v>58</v>
      </c>
    </row>
    <row r="402" spans="1:7" x14ac:dyDescent="0.2">
      <c r="A402" s="2" t="s">
        <v>2181</v>
      </c>
      <c r="B402" s="2" t="s">
        <v>2182</v>
      </c>
      <c r="C402" s="2" t="s">
        <v>61</v>
      </c>
      <c r="D402" s="27">
        <v>45953</v>
      </c>
      <c r="E402" s="2"/>
      <c r="F402" s="2" t="s">
        <v>8</v>
      </c>
      <c r="G402" s="24" t="s">
        <v>593</v>
      </c>
    </row>
    <row r="403" spans="1:7" x14ac:dyDescent="0.2">
      <c r="A403" s="2" t="s">
        <v>2183</v>
      </c>
      <c r="B403" s="2" t="s">
        <v>2184</v>
      </c>
      <c r="C403" s="2" t="s">
        <v>61</v>
      </c>
      <c r="D403" s="27">
        <v>45931</v>
      </c>
      <c r="E403" s="2"/>
      <c r="F403" s="2" t="s">
        <v>8</v>
      </c>
      <c r="G403" s="24" t="s">
        <v>593</v>
      </c>
    </row>
    <row r="404" spans="1:7" x14ac:dyDescent="0.2">
      <c r="A404" s="2" t="s">
        <v>2185</v>
      </c>
      <c r="B404" s="2" t="s">
        <v>2186</v>
      </c>
      <c r="C404" s="2" t="s">
        <v>61</v>
      </c>
      <c r="D404" s="27">
        <v>45960</v>
      </c>
      <c r="E404" s="2"/>
      <c r="F404" s="2" t="s">
        <v>8</v>
      </c>
      <c r="G404" s="24" t="s">
        <v>593</v>
      </c>
    </row>
    <row r="405" spans="1:7" x14ac:dyDescent="0.2">
      <c r="A405" s="2" t="s">
        <v>2187</v>
      </c>
      <c r="B405" s="2" t="s">
        <v>2188</v>
      </c>
      <c r="C405" s="2" t="s">
        <v>61</v>
      </c>
      <c r="D405" s="27">
        <v>45961</v>
      </c>
      <c r="E405" s="2"/>
      <c r="F405" s="2" t="s">
        <v>8</v>
      </c>
      <c r="G405" s="24" t="s">
        <v>3898</v>
      </c>
    </row>
    <row r="406" spans="1:7" x14ac:dyDescent="0.2">
      <c r="A406" s="2" t="s">
        <v>2189</v>
      </c>
      <c r="B406" s="2" t="s">
        <v>2190</v>
      </c>
      <c r="C406" s="2" t="s">
        <v>61</v>
      </c>
      <c r="D406" s="27">
        <v>45958</v>
      </c>
      <c r="E406" s="2"/>
      <c r="F406" s="2" t="s">
        <v>8</v>
      </c>
      <c r="G406" s="24" t="s">
        <v>1367</v>
      </c>
    </row>
    <row r="407" spans="1:7" x14ac:dyDescent="0.2">
      <c r="A407" s="2" t="s">
        <v>2191</v>
      </c>
      <c r="B407" s="2" t="s">
        <v>2192</v>
      </c>
      <c r="C407" s="2" t="s">
        <v>61</v>
      </c>
      <c r="D407" s="27">
        <v>45957</v>
      </c>
      <c r="E407" s="2"/>
      <c r="F407" s="2" t="s">
        <v>8</v>
      </c>
      <c r="G407" s="24" t="s">
        <v>1367</v>
      </c>
    </row>
    <row r="408" spans="1:7" x14ac:dyDescent="0.2">
      <c r="A408" s="2" t="s">
        <v>2193</v>
      </c>
      <c r="B408" s="2" t="s">
        <v>2194</v>
      </c>
      <c r="C408" s="2" t="s">
        <v>61</v>
      </c>
      <c r="D408" s="27">
        <v>45960</v>
      </c>
      <c r="E408" s="2"/>
      <c r="F408" s="2" t="s">
        <v>8</v>
      </c>
      <c r="G408" s="24" t="s">
        <v>593</v>
      </c>
    </row>
    <row r="409" spans="1:7" x14ac:dyDescent="0.2">
      <c r="A409" s="2" t="s">
        <v>2195</v>
      </c>
      <c r="B409" s="2" t="s">
        <v>2196</v>
      </c>
      <c r="C409" s="2" t="s">
        <v>61</v>
      </c>
      <c r="D409" s="27">
        <v>45939</v>
      </c>
      <c r="E409" s="2"/>
      <c r="F409" s="2" t="s">
        <v>8</v>
      </c>
      <c r="G409" s="24" t="s">
        <v>593</v>
      </c>
    </row>
    <row r="410" spans="1:7" x14ac:dyDescent="0.2">
      <c r="A410" s="2" t="s">
        <v>2197</v>
      </c>
      <c r="B410" s="2" t="s">
        <v>2198</v>
      </c>
      <c r="C410" s="2" t="s">
        <v>61</v>
      </c>
      <c r="D410" s="27">
        <v>45958</v>
      </c>
      <c r="E410" s="2"/>
      <c r="F410" s="2" t="s">
        <v>8</v>
      </c>
      <c r="G410" s="24" t="s">
        <v>1367</v>
      </c>
    </row>
    <row r="411" spans="1:7" x14ac:dyDescent="0.2">
      <c r="A411" s="2" t="s">
        <v>2199</v>
      </c>
      <c r="B411" s="2" t="s">
        <v>2200</v>
      </c>
      <c r="C411" s="2" t="s">
        <v>61</v>
      </c>
      <c r="D411" s="27">
        <v>45958</v>
      </c>
      <c r="E411" s="2"/>
      <c r="F411" s="2" t="s">
        <v>8</v>
      </c>
      <c r="G411" s="24" t="s">
        <v>1367</v>
      </c>
    </row>
    <row r="412" spans="1:7" x14ac:dyDescent="0.2">
      <c r="A412" s="2" t="s">
        <v>2201</v>
      </c>
      <c r="B412" s="2" t="s">
        <v>2202</v>
      </c>
      <c r="C412" s="2" t="s">
        <v>61</v>
      </c>
      <c r="D412" s="27">
        <v>45958</v>
      </c>
      <c r="E412" s="2"/>
      <c r="F412" s="2" t="s">
        <v>8</v>
      </c>
      <c r="G412" s="24" t="s">
        <v>3899</v>
      </c>
    </row>
    <row r="413" spans="1:7" x14ac:dyDescent="0.2">
      <c r="A413" s="2" t="s">
        <v>2203</v>
      </c>
      <c r="B413" s="2" t="s">
        <v>2204</v>
      </c>
      <c r="C413" s="2" t="s">
        <v>61</v>
      </c>
      <c r="D413" s="27">
        <v>45958</v>
      </c>
      <c r="E413" s="2"/>
      <c r="F413" s="2" t="s">
        <v>8</v>
      </c>
      <c r="G413" s="24" t="s">
        <v>3899</v>
      </c>
    </row>
    <row r="414" spans="1:7" x14ac:dyDescent="0.2">
      <c r="A414" s="2" t="s">
        <v>2205</v>
      </c>
      <c r="B414" s="2" t="s">
        <v>2206</v>
      </c>
      <c r="C414" s="2" t="s">
        <v>61</v>
      </c>
      <c r="D414" s="27">
        <v>45959</v>
      </c>
      <c r="E414" s="2"/>
      <c r="F414" s="2" t="s">
        <v>8</v>
      </c>
      <c r="G414" s="24" t="s">
        <v>3896</v>
      </c>
    </row>
    <row r="415" spans="1:7" x14ac:dyDescent="0.2">
      <c r="A415" s="2" t="s">
        <v>2207</v>
      </c>
      <c r="B415" s="2" t="s">
        <v>2208</v>
      </c>
      <c r="C415" s="2" t="s">
        <v>61</v>
      </c>
      <c r="D415" s="27">
        <v>45952</v>
      </c>
      <c r="E415" s="2"/>
      <c r="F415" s="2" t="s">
        <v>8</v>
      </c>
      <c r="G415" s="24" t="s">
        <v>3894</v>
      </c>
    </row>
    <row r="416" spans="1:7" x14ac:dyDescent="0.2">
      <c r="A416" s="2" t="s">
        <v>2209</v>
      </c>
      <c r="B416" s="2" t="s">
        <v>2210</v>
      </c>
      <c r="C416" s="2" t="s">
        <v>61</v>
      </c>
      <c r="D416" s="27">
        <v>45951</v>
      </c>
      <c r="E416" s="2"/>
      <c r="F416" s="2" t="s">
        <v>8</v>
      </c>
      <c r="G416" s="24" t="s">
        <v>96</v>
      </c>
    </row>
    <row r="417" spans="1:7" x14ac:dyDescent="0.2">
      <c r="A417" s="2" t="s">
        <v>2211</v>
      </c>
      <c r="B417" s="2" t="s">
        <v>2212</v>
      </c>
      <c r="C417" s="2" t="s">
        <v>61</v>
      </c>
      <c r="D417" s="27">
        <v>45945</v>
      </c>
      <c r="E417" s="2"/>
      <c r="F417" s="2" t="s">
        <v>8</v>
      </c>
      <c r="G417" s="24" t="s">
        <v>3895</v>
      </c>
    </row>
    <row r="418" spans="1:7" x14ac:dyDescent="0.2">
      <c r="A418" s="2" t="s">
        <v>2213</v>
      </c>
      <c r="B418" s="2" t="s">
        <v>2214</v>
      </c>
      <c r="C418" s="2" t="s">
        <v>61</v>
      </c>
      <c r="D418" s="27">
        <v>45959</v>
      </c>
      <c r="E418" s="2"/>
      <c r="F418" s="2" t="s">
        <v>8</v>
      </c>
      <c r="G418" s="24" t="s">
        <v>591</v>
      </c>
    </row>
    <row r="419" spans="1:7" x14ac:dyDescent="0.2">
      <c r="A419" s="2" t="s">
        <v>2215</v>
      </c>
      <c r="B419" s="2" t="s">
        <v>2216</v>
      </c>
      <c r="C419" s="2" t="s">
        <v>61</v>
      </c>
      <c r="D419" s="27">
        <v>45947</v>
      </c>
      <c r="E419" s="2"/>
      <c r="F419" s="2" t="s">
        <v>8</v>
      </c>
      <c r="G419" s="24" t="s">
        <v>594</v>
      </c>
    </row>
    <row r="420" spans="1:7" x14ac:dyDescent="0.2">
      <c r="A420" s="2" t="s">
        <v>2217</v>
      </c>
      <c r="B420" s="2" t="s">
        <v>2218</v>
      </c>
      <c r="C420" s="2" t="s">
        <v>61</v>
      </c>
      <c r="D420" s="27">
        <v>45936</v>
      </c>
      <c r="E420" s="2"/>
      <c r="F420" s="2" t="s">
        <v>8</v>
      </c>
      <c r="G420" s="24" t="s">
        <v>3896</v>
      </c>
    </row>
    <row r="421" spans="1:7" x14ac:dyDescent="0.2">
      <c r="A421" s="2" t="s">
        <v>2219</v>
      </c>
      <c r="B421" s="2" t="s">
        <v>2220</v>
      </c>
      <c r="C421" s="2" t="s">
        <v>61</v>
      </c>
      <c r="D421" s="27">
        <v>45958</v>
      </c>
      <c r="E421" s="2"/>
      <c r="F421" s="2" t="s">
        <v>8</v>
      </c>
      <c r="G421" s="24" t="s">
        <v>3896</v>
      </c>
    </row>
    <row r="422" spans="1:7" x14ac:dyDescent="0.2">
      <c r="A422" s="2" t="s">
        <v>2221</v>
      </c>
      <c r="B422" s="2" t="s">
        <v>2222</v>
      </c>
      <c r="C422" s="2" t="s">
        <v>61</v>
      </c>
      <c r="D422" s="27">
        <v>45958</v>
      </c>
      <c r="E422" s="2"/>
      <c r="F422" s="2" t="s">
        <v>8</v>
      </c>
      <c r="G422" s="24" t="s">
        <v>3896</v>
      </c>
    </row>
    <row r="423" spans="1:7" x14ac:dyDescent="0.2">
      <c r="A423" s="2" t="s">
        <v>2223</v>
      </c>
      <c r="B423" s="2" t="s">
        <v>2224</v>
      </c>
      <c r="C423" s="2" t="s">
        <v>61</v>
      </c>
      <c r="D423" s="27">
        <v>45937</v>
      </c>
      <c r="E423" s="2"/>
      <c r="F423" s="2" t="s">
        <v>8</v>
      </c>
      <c r="G423" s="24" t="s">
        <v>3896</v>
      </c>
    </row>
    <row r="424" spans="1:7" x14ac:dyDescent="0.2">
      <c r="A424" s="2" t="s">
        <v>2225</v>
      </c>
      <c r="B424" s="2" t="s">
        <v>2226</v>
      </c>
      <c r="C424" s="2" t="s">
        <v>61</v>
      </c>
      <c r="D424" s="27">
        <v>45939</v>
      </c>
      <c r="E424" s="2"/>
      <c r="F424" s="2" t="s">
        <v>8</v>
      </c>
      <c r="G424" s="24" t="s">
        <v>3896</v>
      </c>
    </row>
    <row r="425" spans="1:7" x14ac:dyDescent="0.2">
      <c r="A425" s="2" t="s">
        <v>2227</v>
      </c>
      <c r="B425" s="2" t="s">
        <v>2228</v>
      </c>
      <c r="C425" s="2" t="s">
        <v>61</v>
      </c>
      <c r="D425" s="27">
        <v>45960</v>
      </c>
      <c r="E425" s="2"/>
      <c r="F425" s="2" t="s">
        <v>8</v>
      </c>
      <c r="G425" s="24" t="s">
        <v>3896</v>
      </c>
    </row>
    <row r="426" spans="1:7" x14ac:dyDescent="0.2">
      <c r="A426" s="2" t="s">
        <v>2229</v>
      </c>
      <c r="B426" s="2" t="s">
        <v>2230</v>
      </c>
      <c r="C426" s="2" t="s">
        <v>61</v>
      </c>
      <c r="D426" s="27">
        <v>45960</v>
      </c>
      <c r="E426" s="2"/>
      <c r="F426" s="2" t="s">
        <v>8</v>
      </c>
      <c r="G426" s="24" t="s">
        <v>3896</v>
      </c>
    </row>
    <row r="427" spans="1:7" x14ac:dyDescent="0.2">
      <c r="A427" s="2" t="s">
        <v>2231</v>
      </c>
      <c r="B427" s="2" t="s">
        <v>2232</v>
      </c>
      <c r="C427" s="2" t="s">
        <v>61</v>
      </c>
      <c r="D427" s="27">
        <v>45936</v>
      </c>
      <c r="E427" s="2"/>
      <c r="F427" s="2" t="s">
        <v>8</v>
      </c>
      <c r="G427" s="24" t="s">
        <v>79</v>
      </c>
    </row>
    <row r="428" spans="1:7" x14ac:dyDescent="0.2">
      <c r="A428" s="2" t="s">
        <v>2233</v>
      </c>
      <c r="B428" s="2" t="s">
        <v>2234</v>
      </c>
      <c r="C428" s="2" t="s">
        <v>61</v>
      </c>
      <c r="D428" s="27">
        <v>45959</v>
      </c>
      <c r="E428" s="2"/>
      <c r="F428" s="2" t="s">
        <v>8</v>
      </c>
      <c r="G428" s="24" t="s">
        <v>3896</v>
      </c>
    </row>
    <row r="429" spans="1:7" x14ac:dyDescent="0.2">
      <c r="A429" s="2" t="s">
        <v>2235</v>
      </c>
      <c r="B429" s="2" t="s">
        <v>2236</v>
      </c>
      <c r="C429" s="2" t="s">
        <v>61</v>
      </c>
      <c r="D429" s="27">
        <v>45960</v>
      </c>
      <c r="E429" s="2"/>
      <c r="F429" s="2" t="s">
        <v>8</v>
      </c>
      <c r="G429" s="24" t="s">
        <v>594</v>
      </c>
    </row>
    <row r="430" spans="1:7" x14ac:dyDescent="0.2">
      <c r="A430" s="2" t="s">
        <v>2237</v>
      </c>
      <c r="B430" s="2" t="s">
        <v>2238</v>
      </c>
      <c r="C430" s="2" t="s">
        <v>61</v>
      </c>
      <c r="D430" s="27">
        <v>45960</v>
      </c>
      <c r="E430" s="2"/>
      <c r="F430" s="2" t="s">
        <v>8</v>
      </c>
      <c r="G430" s="24" t="s">
        <v>3896</v>
      </c>
    </row>
    <row r="431" spans="1:7" x14ac:dyDescent="0.2">
      <c r="A431" s="2" t="s">
        <v>2239</v>
      </c>
      <c r="B431" s="2" t="s">
        <v>2240</v>
      </c>
      <c r="C431" s="2" t="s">
        <v>61</v>
      </c>
      <c r="D431" s="27">
        <v>45961</v>
      </c>
      <c r="E431" s="2"/>
      <c r="F431" s="2" t="s">
        <v>8</v>
      </c>
      <c r="G431" s="24" t="s">
        <v>3899</v>
      </c>
    </row>
    <row r="432" spans="1:7" x14ac:dyDescent="0.2">
      <c r="A432" s="2" t="s">
        <v>2241</v>
      </c>
      <c r="B432" s="2" t="s">
        <v>2242</v>
      </c>
      <c r="C432" s="2" t="s">
        <v>61</v>
      </c>
      <c r="D432" s="27">
        <v>45947</v>
      </c>
      <c r="E432" s="2"/>
      <c r="F432" s="2" t="s">
        <v>8</v>
      </c>
      <c r="G432" s="24" t="s">
        <v>96</v>
      </c>
    </row>
    <row r="433" spans="1:7" x14ac:dyDescent="0.2">
      <c r="A433" s="2" t="s">
        <v>2243</v>
      </c>
      <c r="B433" s="2" t="s">
        <v>2244</v>
      </c>
      <c r="C433" s="2" t="s">
        <v>61</v>
      </c>
      <c r="D433" s="27">
        <v>45952</v>
      </c>
      <c r="E433" s="2"/>
      <c r="F433" s="2" t="s">
        <v>8</v>
      </c>
      <c r="G433" s="24" t="s">
        <v>96</v>
      </c>
    </row>
    <row r="434" spans="1:7" x14ac:dyDescent="0.2">
      <c r="A434" s="2" t="s">
        <v>2245</v>
      </c>
      <c r="B434" s="2" t="s">
        <v>2246</v>
      </c>
      <c r="C434" s="2" t="s">
        <v>61</v>
      </c>
      <c r="D434" s="27">
        <v>45933</v>
      </c>
      <c r="E434" s="2"/>
      <c r="F434" s="2" t="s">
        <v>8</v>
      </c>
      <c r="G434" s="24" t="s">
        <v>96</v>
      </c>
    </row>
    <row r="435" spans="1:7" x14ac:dyDescent="0.2">
      <c r="A435" s="2" t="s">
        <v>2247</v>
      </c>
      <c r="B435" s="2" t="s">
        <v>2248</v>
      </c>
      <c r="C435" s="2" t="s">
        <v>61</v>
      </c>
      <c r="D435" s="27">
        <v>45947</v>
      </c>
      <c r="E435" s="2"/>
      <c r="F435" s="2" t="s">
        <v>8</v>
      </c>
      <c r="G435" s="24" t="s">
        <v>96</v>
      </c>
    </row>
    <row r="436" spans="1:7" x14ac:dyDescent="0.2">
      <c r="A436" s="2" t="s">
        <v>2249</v>
      </c>
      <c r="B436" s="2" t="s">
        <v>2250</v>
      </c>
      <c r="C436" s="2" t="s">
        <v>61</v>
      </c>
      <c r="D436" s="27">
        <v>45961</v>
      </c>
      <c r="E436" s="2"/>
      <c r="F436" s="2" t="s">
        <v>8</v>
      </c>
      <c r="G436" s="24" t="s">
        <v>96</v>
      </c>
    </row>
    <row r="437" spans="1:7" x14ac:dyDescent="0.2">
      <c r="A437" s="2" t="s">
        <v>2251</v>
      </c>
      <c r="B437" s="2" t="s">
        <v>2252</v>
      </c>
      <c r="C437" s="2" t="s">
        <v>61</v>
      </c>
      <c r="D437" s="27">
        <v>45960</v>
      </c>
      <c r="E437" s="2"/>
      <c r="F437" s="2" t="s">
        <v>8</v>
      </c>
      <c r="G437" s="24" t="s">
        <v>96</v>
      </c>
    </row>
    <row r="438" spans="1:7" x14ac:dyDescent="0.2">
      <c r="A438" s="2" t="s">
        <v>2253</v>
      </c>
      <c r="B438" s="2" t="s">
        <v>2254</v>
      </c>
      <c r="C438" s="2" t="s">
        <v>61</v>
      </c>
      <c r="D438" s="27">
        <v>45960</v>
      </c>
      <c r="E438" s="2"/>
      <c r="F438" s="2" t="s">
        <v>8</v>
      </c>
      <c r="G438" s="24" t="s">
        <v>96</v>
      </c>
    </row>
    <row r="439" spans="1:7" x14ac:dyDescent="0.2">
      <c r="A439" s="2" t="s">
        <v>2255</v>
      </c>
      <c r="B439" s="2" t="s">
        <v>2256</v>
      </c>
      <c r="C439" s="2" t="s">
        <v>61</v>
      </c>
      <c r="D439" s="27">
        <v>45954</v>
      </c>
      <c r="E439" s="2"/>
      <c r="F439" s="2" t="s">
        <v>8</v>
      </c>
      <c r="G439" s="24" t="s">
        <v>96</v>
      </c>
    </row>
    <row r="440" spans="1:7" x14ac:dyDescent="0.2">
      <c r="A440" s="2" t="s">
        <v>2257</v>
      </c>
      <c r="B440" s="2" t="s">
        <v>2258</v>
      </c>
      <c r="C440" s="2" t="s">
        <v>61</v>
      </c>
      <c r="D440" s="27">
        <v>45958</v>
      </c>
      <c r="E440" s="2"/>
      <c r="F440" s="2" t="s">
        <v>8</v>
      </c>
      <c r="G440" s="24" t="s">
        <v>96</v>
      </c>
    </row>
    <row r="441" spans="1:7" x14ac:dyDescent="0.2">
      <c r="A441" s="2" t="s">
        <v>2259</v>
      </c>
      <c r="B441" s="2" t="s">
        <v>2260</v>
      </c>
      <c r="C441" s="2" t="s">
        <v>61</v>
      </c>
      <c r="D441" s="27">
        <v>45940</v>
      </c>
      <c r="E441" s="2"/>
      <c r="F441" s="2" t="s">
        <v>8</v>
      </c>
      <c r="G441" s="24" t="s">
        <v>1367</v>
      </c>
    </row>
    <row r="442" spans="1:7" x14ac:dyDescent="0.2">
      <c r="A442" s="2" t="s">
        <v>2261</v>
      </c>
      <c r="B442" s="2" t="s">
        <v>2262</v>
      </c>
      <c r="C442" s="2" t="s">
        <v>61</v>
      </c>
      <c r="D442" s="27">
        <v>45957</v>
      </c>
      <c r="E442" s="2"/>
      <c r="F442" s="2" t="s">
        <v>8</v>
      </c>
      <c r="G442" s="24" t="s">
        <v>96</v>
      </c>
    </row>
    <row r="443" spans="1:7" x14ac:dyDescent="0.2">
      <c r="A443" s="2" t="s">
        <v>2263</v>
      </c>
      <c r="B443" s="2" t="s">
        <v>2264</v>
      </c>
      <c r="C443" s="2" t="s">
        <v>61</v>
      </c>
      <c r="D443" s="27">
        <v>45951</v>
      </c>
      <c r="E443" s="2"/>
      <c r="F443" s="2" t="s">
        <v>8</v>
      </c>
      <c r="G443" s="24" t="s">
        <v>96</v>
      </c>
    </row>
    <row r="444" spans="1:7" x14ac:dyDescent="0.2">
      <c r="A444" s="2" t="s">
        <v>2265</v>
      </c>
      <c r="B444" s="2" t="s">
        <v>2266</v>
      </c>
      <c r="C444" s="2" t="s">
        <v>61</v>
      </c>
      <c r="D444" s="27">
        <v>45960</v>
      </c>
      <c r="E444" s="2"/>
      <c r="F444" s="2" t="s">
        <v>8</v>
      </c>
      <c r="G444" s="24" t="s">
        <v>96</v>
      </c>
    </row>
    <row r="445" spans="1:7" x14ac:dyDescent="0.2">
      <c r="A445" s="2" t="s">
        <v>2267</v>
      </c>
      <c r="B445" s="2" t="s">
        <v>2268</v>
      </c>
      <c r="C445" s="2" t="s">
        <v>61</v>
      </c>
      <c r="D445" s="27">
        <v>45961</v>
      </c>
      <c r="E445" s="2"/>
      <c r="F445" s="2" t="s">
        <v>8</v>
      </c>
      <c r="G445" s="24" t="s">
        <v>96</v>
      </c>
    </row>
    <row r="446" spans="1:7" x14ac:dyDescent="0.2">
      <c r="A446" s="2" t="s">
        <v>2269</v>
      </c>
      <c r="B446" s="2" t="s">
        <v>2270</v>
      </c>
      <c r="C446" s="2" t="s">
        <v>61</v>
      </c>
      <c r="D446" s="27">
        <v>45958</v>
      </c>
      <c r="E446" s="2"/>
      <c r="F446" s="2" t="s">
        <v>8</v>
      </c>
      <c r="G446" s="24" t="s">
        <v>96</v>
      </c>
    </row>
    <row r="447" spans="1:7" x14ac:dyDescent="0.2">
      <c r="A447" s="2" t="s">
        <v>2271</v>
      </c>
      <c r="B447" s="2" t="s">
        <v>2272</v>
      </c>
      <c r="C447" s="2" t="s">
        <v>61</v>
      </c>
      <c r="D447" s="27">
        <v>45947</v>
      </c>
      <c r="E447" s="2"/>
      <c r="F447" s="2" t="s">
        <v>8</v>
      </c>
      <c r="G447" s="24" t="s">
        <v>96</v>
      </c>
    </row>
    <row r="448" spans="1:7" x14ac:dyDescent="0.2">
      <c r="A448" s="2" t="s">
        <v>2273</v>
      </c>
      <c r="B448" s="2" t="s">
        <v>2274</v>
      </c>
      <c r="C448" s="2" t="s">
        <v>61</v>
      </c>
      <c r="D448" s="27">
        <v>45938</v>
      </c>
      <c r="E448" s="2"/>
      <c r="F448" s="2" t="s">
        <v>8</v>
      </c>
      <c r="G448" s="24" t="s">
        <v>1367</v>
      </c>
    </row>
    <row r="449" spans="1:7" x14ac:dyDescent="0.2">
      <c r="A449" s="2" t="s">
        <v>2275</v>
      </c>
      <c r="B449" s="2" t="s">
        <v>2276</v>
      </c>
      <c r="C449" s="2" t="s">
        <v>61</v>
      </c>
      <c r="D449" s="27">
        <v>45945</v>
      </c>
      <c r="E449" s="2"/>
      <c r="F449" s="2" t="s">
        <v>8</v>
      </c>
      <c r="G449" s="24" t="s">
        <v>96</v>
      </c>
    </row>
    <row r="450" spans="1:7" x14ac:dyDescent="0.2">
      <c r="A450" s="2" t="s">
        <v>2277</v>
      </c>
      <c r="B450" s="2" t="s">
        <v>2278</v>
      </c>
      <c r="C450" s="2" t="s">
        <v>61</v>
      </c>
      <c r="D450" s="27">
        <v>45959</v>
      </c>
      <c r="E450" s="2"/>
      <c r="F450" s="2" t="s">
        <v>8</v>
      </c>
      <c r="G450" s="24" t="s">
        <v>96</v>
      </c>
    </row>
    <row r="451" spans="1:7" x14ac:dyDescent="0.2">
      <c r="A451" s="2" t="s">
        <v>2279</v>
      </c>
      <c r="B451" s="2" t="s">
        <v>2280</v>
      </c>
      <c r="C451" s="2" t="s">
        <v>61</v>
      </c>
      <c r="D451" s="27">
        <v>45959</v>
      </c>
      <c r="E451" s="2"/>
      <c r="F451" s="2" t="s">
        <v>8</v>
      </c>
      <c r="G451" s="24" t="s">
        <v>96</v>
      </c>
    </row>
    <row r="452" spans="1:7" x14ac:dyDescent="0.2">
      <c r="A452" s="2" t="s">
        <v>2281</v>
      </c>
      <c r="B452" s="2" t="s">
        <v>93</v>
      </c>
      <c r="C452" s="2" t="s">
        <v>61</v>
      </c>
      <c r="D452" s="27">
        <v>45931</v>
      </c>
      <c r="E452" s="2"/>
      <c r="F452" s="2" t="s">
        <v>8</v>
      </c>
      <c r="G452" s="24" t="s">
        <v>96</v>
      </c>
    </row>
    <row r="453" spans="1:7" x14ac:dyDescent="0.2">
      <c r="A453" s="2" t="s">
        <v>2282</v>
      </c>
      <c r="B453" s="2" t="s">
        <v>2283</v>
      </c>
      <c r="C453" s="2" t="s">
        <v>61</v>
      </c>
      <c r="D453" s="27">
        <v>45952</v>
      </c>
      <c r="E453" s="2"/>
      <c r="F453" s="2" t="s">
        <v>8</v>
      </c>
      <c r="G453" s="24" t="s">
        <v>96</v>
      </c>
    </row>
    <row r="454" spans="1:7" x14ac:dyDescent="0.2">
      <c r="A454" s="2" t="s">
        <v>2284</v>
      </c>
      <c r="B454" s="2" t="s">
        <v>2285</v>
      </c>
      <c r="C454" s="2" t="s">
        <v>61</v>
      </c>
      <c r="D454" s="27">
        <v>45951</v>
      </c>
      <c r="E454" s="2"/>
      <c r="F454" s="2" t="s">
        <v>8</v>
      </c>
      <c r="G454" s="24" t="s">
        <v>96</v>
      </c>
    </row>
    <row r="455" spans="1:7" x14ac:dyDescent="0.2">
      <c r="A455" s="2" t="s">
        <v>2286</v>
      </c>
      <c r="B455" s="2" t="s">
        <v>2287</v>
      </c>
      <c r="C455" s="2" t="s">
        <v>61</v>
      </c>
      <c r="D455" s="27">
        <v>45954</v>
      </c>
      <c r="E455" s="2"/>
      <c r="F455" s="2" t="s">
        <v>8</v>
      </c>
      <c r="G455" s="24" t="s">
        <v>96</v>
      </c>
    </row>
    <row r="456" spans="1:7" x14ac:dyDescent="0.2">
      <c r="A456" s="2" t="s">
        <v>2288</v>
      </c>
      <c r="B456" s="2" t="s">
        <v>2289</v>
      </c>
      <c r="C456" s="2" t="s">
        <v>61</v>
      </c>
      <c r="D456" s="27">
        <v>45946</v>
      </c>
      <c r="E456" s="2"/>
      <c r="F456" s="2" t="s">
        <v>8</v>
      </c>
      <c r="G456" s="24" t="s">
        <v>96</v>
      </c>
    </row>
    <row r="457" spans="1:7" x14ac:dyDescent="0.2">
      <c r="A457" s="2" t="s">
        <v>2290</v>
      </c>
      <c r="B457" s="2" t="s">
        <v>2291</v>
      </c>
      <c r="C457" s="2" t="s">
        <v>61</v>
      </c>
      <c r="D457" s="27">
        <v>45939</v>
      </c>
      <c r="E457" s="2"/>
      <c r="F457" s="2" t="s">
        <v>8</v>
      </c>
      <c r="G457" s="24" t="s">
        <v>96</v>
      </c>
    </row>
    <row r="458" spans="1:7" x14ac:dyDescent="0.2">
      <c r="A458" s="2" t="s">
        <v>2292</v>
      </c>
      <c r="B458" s="2" t="s">
        <v>2293</v>
      </c>
      <c r="C458" s="2" t="s">
        <v>61</v>
      </c>
      <c r="D458" s="27">
        <v>45942</v>
      </c>
      <c r="E458" s="2"/>
      <c r="F458" s="2" t="s">
        <v>8</v>
      </c>
      <c r="G458" s="24" t="s">
        <v>96</v>
      </c>
    </row>
    <row r="459" spans="1:7" x14ac:dyDescent="0.2">
      <c r="A459" s="2" t="s">
        <v>2294</v>
      </c>
      <c r="B459" s="2" t="s">
        <v>2295</v>
      </c>
      <c r="C459" s="2" t="s">
        <v>61</v>
      </c>
      <c r="D459" s="27">
        <v>45950</v>
      </c>
      <c r="E459" s="2"/>
      <c r="F459" s="2" t="s">
        <v>8</v>
      </c>
      <c r="G459" s="24" t="s">
        <v>96</v>
      </c>
    </row>
    <row r="460" spans="1:7" x14ac:dyDescent="0.2">
      <c r="A460" s="2" t="s">
        <v>2296</v>
      </c>
      <c r="B460" s="2" t="s">
        <v>2297</v>
      </c>
      <c r="C460" s="2" t="s">
        <v>61</v>
      </c>
      <c r="D460" s="27">
        <v>45951</v>
      </c>
      <c r="E460" s="2"/>
      <c r="F460" s="2" t="s">
        <v>8</v>
      </c>
      <c r="G460" s="24" t="s">
        <v>96</v>
      </c>
    </row>
    <row r="461" spans="1:7" x14ac:dyDescent="0.2">
      <c r="A461" s="2" t="s">
        <v>2298</v>
      </c>
      <c r="B461" s="2" t="s">
        <v>2299</v>
      </c>
      <c r="C461" s="2" t="s">
        <v>61</v>
      </c>
      <c r="D461" s="27">
        <v>45951</v>
      </c>
      <c r="E461" s="2"/>
      <c r="F461" s="2" t="s">
        <v>8</v>
      </c>
      <c r="G461" s="24" t="s">
        <v>96</v>
      </c>
    </row>
    <row r="462" spans="1:7" x14ac:dyDescent="0.2">
      <c r="A462" s="2" t="s">
        <v>2300</v>
      </c>
      <c r="B462" s="2" t="s">
        <v>2301</v>
      </c>
      <c r="C462" s="2" t="s">
        <v>61</v>
      </c>
      <c r="D462" s="27">
        <v>45931</v>
      </c>
      <c r="E462" s="2"/>
      <c r="F462" s="2" t="s">
        <v>8</v>
      </c>
      <c r="G462" s="24" t="s">
        <v>96</v>
      </c>
    </row>
    <row r="463" spans="1:7" x14ac:dyDescent="0.2">
      <c r="A463" s="2" t="s">
        <v>2302</v>
      </c>
      <c r="B463" s="2" t="s">
        <v>2303</v>
      </c>
      <c r="C463" s="2" t="s">
        <v>61</v>
      </c>
      <c r="D463" s="27">
        <v>45946</v>
      </c>
      <c r="E463" s="2"/>
      <c r="F463" s="2" t="s">
        <v>8</v>
      </c>
      <c r="G463" s="24" t="s">
        <v>96</v>
      </c>
    </row>
    <row r="464" spans="1:7" x14ac:dyDescent="0.2">
      <c r="A464" s="2" t="s">
        <v>2304</v>
      </c>
      <c r="B464" s="2" t="s">
        <v>2305</v>
      </c>
      <c r="C464" s="2" t="s">
        <v>61</v>
      </c>
      <c r="D464" s="27">
        <v>45944</v>
      </c>
      <c r="E464" s="2"/>
      <c r="F464" s="2" t="s">
        <v>8</v>
      </c>
      <c r="G464" s="24" t="s">
        <v>96</v>
      </c>
    </row>
    <row r="465" spans="1:7" x14ac:dyDescent="0.2">
      <c r="A465" s="2" t="s">
        <v>2306</v>
      </c>
      <c r="B465" s="2" t="s">
        <v>2307</v>
      </c>
      <c r="C465" s="2" t="s">
        <v>61</v>
      </c>
      <c r="D465" s="27">
        <v>45958</v>
      </c>
      <c r="E465" s="2"/>
      <c r="F465" s="2" t="s">
        <v>8</v>
      </c>
      <c r="G465" s="24" t="s">
        <v>96</v>
      </c>
    </row>
    <row r="466" spans="1:7" x14ac:dyDescent="0.2">
      <c r="A466" s="2" t="s">
        <v>2308</v>
      </c>
      <c r="B466" s="2" t="s">
        <v>2309</v>
      </c>
      <c r="C466" s="2" t="s">
        <v>61</v>
      </c>
      <c r="D466" s="27">
        <v>45960</v>
      </c>
      <c r="E466" s="2"/>
      <c r="F466" s="2" t="s">
        <v>8</v>
      </c>
      <c r="G466" s="24" t="s">
        <v>96</v>
      </c>
    </row>
    <row r="467" spans="1:7" x14ac:dyDescent="0.2">
      <c r="A467" s="2" t="s">
        <v>2310</v>
      </c>
      <c r="B467" s="2" t="s">
        <v>2311</v>
      </c>
      <c r="C467" s="2" t="s">
        <v>61</v>
      </c>
      <c r="D467" s="27">
        <v>45958</v>
      </c>
      <c r="E467" s="2"/>
      <c r="F467" s="2" t="s">
        <v>8</v>
      </c>
      <c r="G467" s="24" t="s">
        <v>96</v>
      </c>
    </row>
    <row r="468" spans="1:7" x14ac:dyDescent="0.2">
      <c r="A468" s="2" t="s">
        <v>2312</v>
      </c>
      <c r="B468" s="2" t="s">
        <v>2313</v>
      </c>
      <c r="C468" s="2" t="s">
        <v>61</v>
      </c>
      <c r="D468" s="27">
        <v>45958</v>
      </c>
      <c r="E468" s="2"/>
      <c r="F468" s="2" t="s">
        <v>8</v>
      </c>
      <c r="G468" s="24" t="s">
        <v>96</v>
      </c>
    </row>
    <row r="469" spans="1:7" x14ac:dyDescent="0.2">
      <c r="A469" s="2" t="s">
        <v>2314</v>
      </c>
      <c r="B469" s="2" t="s">
        <v>2315</v>
      </c>
      <c r="C469" s="2" t="s">
        <v>61</v>
      </c>
      <c r="D469" s="27">
        <v>45952</v>
      </c>
      <c r="E469" s="2"/>
      <c r="F469" s="2" t="s">
        <v>8</v>
      </c>
      <c r="G469" s="24" t="s">
        <v>96</v>
      </c>
    </row>
    <row r="470" spans="1:7" x14ac:dyDescent="0.2">
      <c r="A470" s="2" t="s">
        <v>2316</v>
      </c>
      <c r="B470" s="2" t="s">
        <v>2317</v>
      </c>
      <c r="C470" s="2" t="s">
        <v>61</v>
      </c>
      <c r="D470" s="27">
        <v>45943</v>
      </c>
      <c r="E470" s="2"/>
      <c r="F470" s="2" t="s">
        <v>8</v>
      </c>
      <c r="G470" s="24" t="s">
        <v>96</v>
      </c>
    </row>
    <row r="471" spans="1:7" x14ac:dyDescent="0.2">
      <c r="A471" s="2" t="s">
        <v>2318</v>
      </c>
      <c r="B471" s="2" t="s">
        <v>2319</v>
      </c>
      <c r="C471" s="2" t="s">
        <v>61</v>
      </c>
      <c r="D471" s="27">
        <v>45947</v>
      </c>
      <c r="E471" s="2"/>
      <c r="F471" s="2" t="s">
        <v>8</v>
      </c>
      <c r="G471" s="24" t="s">
        <v>96</v>
      </c>
    </row>
    <row r="472" spans="1:7" x14ac:dyDescent="0.2">
      <c r="A472" s="2" t="s">
        <v>2320</v>
      </c>
      <c r="B472" s="2" t="s">
        <v>2321</v>
      </c>
      <c r="C472" s="2" t="s">
        <v>61</v>
      </c>
      <c r="D472" s="27">
        <v>45945</v>
      </c>
      <c r="E472" s="2"/>
      <c r="F472" s="2" t="s">
        <v>8</v>
      </c>
      <c r="G472" s="24" t="s">
        <v>96</v>
      </c>
    </row>
    <row r="473" spans="1:7" x14ac:dyDescent="0.2">
      <c r="A473" s="2" t="s">
        <v>2322</v>
      </c>
      <c r="B473" s="2" t="s">
        <v>2323</v>
      </c>
      <c r="C473" s="2" t="s">
        <v>61</v>
      </c>
      <c r="D473" s="27">
        <v>45955</v>
      </c>
      <c r="E473" s="2"/>
      <c r="F473" s="2" t="s">
        <v>8</v>
      </c>
      <c r="G473" s="24" t="s">
        <v>96</v>
      </c>
    </row>
    <row r="474" spans="1:7" x14ac:dyDescent="0.2">
      <c r="A474" s="2" t="s">
        <v>2324</v>
      </c>
      <c r="B474" s="2" t="s">
        <v>2325</v>
      </c>
      <c r="C474" s="2" t="s">
        <v>61</v>
      </c>
      <c r="D474" s="27">
        <v>45951</v>
      </c>
      <c r="E474" s="2"/>
      <c r="F474" s="2" t="s">
        <v>8</v>
      </c>
      <c r="G474" s="24" t="s">
        <v>96</v>
      </c>
    </row>
    <row r="475" spans="1:7" x14ac:dyDescent="0.2">
      <c r="A475" s="2" t="s">
        <v>2326</v>
      </c>
      <c r="B475" s="2" t="s">
        <v>2327</v>
      </c>
      <c r="C475" s="2" t="s">
        <v>61</v>
      </c>
      <c r="D475" s="27">
        <v>45945</v>
      </c>
      <c r="E475" s="2"/>
      <c r="F475" s="2" t="s">
        <v>8</v>
      </c>
      <c r="G475" s="24" t="s">
        <v>96</v>
      </c>
    </row>
    <row r="476" spans="1:7" x14ac:dyDescent="0.2">
      <c r="A476" s="2" t="s">
        <v>2328</v>
      </c>
      <c r="B476" s="2" t="s">
        <v>2329</v>
      </c>
      <c r="C476" s="2" t="s">
        <v>61</v>
      </c>
      <c r="D476" s="27">
        <v>45945</v>
      </c>
      <c r="E476" s="2"/>
      <c r="F476" s="2" t="s">
        <v>8</v>
      </c>
      <c r="G476" s="24" t="s">
        <v>96</v>
      </c>
    </row>
    <row r="477" spans="1:7" x14ac:dyDescent="0.2">
      <c r="A477" s="2" t="s">
        <v>2330</v>
      </c>
      <c r="B477" s="2" t="s">
        <v>2331</v>
      </c>
      <c r="C477" s="2" t="s">
        <v>61</v>
      </c>
      <c r="D477" s="27">
        <v>45938</v>
      </c>
      <c r="E477" s="2"/>
      <c r="F477" s="2" t="s">
        <v>8</v>
      </c>
      <c r="G477" s="24" t="s">
        <v>96</v>
      </c>
    </row>
    <row r="478" spans="1:7" x14ac:dyDescent="0.2">
      <c r="A478" s="2" t="s">
        <v>2332</v>
      </c>
      <c r="B478" s="2" t="s">
        <v>2333</v>
      </c>
      <c r="C478" s="2" t="s">
        <v>61</v>
      </c>
      <c r="D478" s="27">
        <v>45950</v>
      </c>
      <c r="E478" s="2"/>
      <c r="F478" s="2" t="s">
        <v>8</v>
      </c>
      <c r="G478" s="24" t="s">
        <v>96</v>
      </c>
    </row>
    <row r="479" spans="1:7" x14ac:dyDescent="0.2">
      <c r="A479" s="2" t="s">
        <v>2334</v>
      </c>
      <c r="B479" s="2" t="s">
        <v>2335</v>
      </c>
      <c r="C479" s="2" t="s">
        <v>61</v>
      </c>
      <c r="D479" s="27">
        <v>45932</v>
      </c>
      <c r="E479" s="2"/>
      <c r="F479" s="2" t="s">
        <v>8</v>
      </c>
      <c r="G479" s="24" t="s">
        <v>96</v>
      </c>
    </row>
    <row r="480" spans="1:7" x14ac:dyDescent="0.2">
      <c r="A480" s="2" t="s">
        <v>2336</v>
      </c>
      <c r="B480" s="2" t="s">
        <v>2337</v>
      </c>
      <c r="C480" s="2" t="s">
        <v>61</v>
      </c>
      <c r="D480" s="27">
        <v>45945</v>
      </c>
      <c r="E480" s="2"/>
      <c r="F480" s="2" t="s">
        <v>8</v>
      </c>
      <c r="G480" s="24" t="s">
        <v>96</v>
      </c>
    </row>
    <row r="481" spans="1:7" x14ac:dyDescent="0.2">
      <c r="A481" s="2" t="s">
        <v>2338</v>
      </c>
      <c r="B481" s="2" t="s">
        <v>2339</v>
      </c>
      <c r="C481" s="2" t="s">
        <v>61</v>
      </c>
      <c r="D481" s="27">
        <v>45932</v>
      </c>
      <c r="E481" s="2"/>
      <c r="F481" s="2" t="s">
        <v>8</v>
      </c>
      <c r="G481" s="24" t="s">
        <v>96</v>
      </c>
    </row>
    <row r="482" spans="1:7" x14ac:dyDescent="0.2">
      <c r="A482" s="2" t="s">
        <v>2340</v>
      </c>
      <c r="B482" s="2" t="s">
        <v>2341</v>
      </c>
      <c r="C482" s="2" t="s">
        <v>61</v>
      </c>
      <c r="D482" s="27">
        <v>45951</v>
      </c>
      <c r="E482" s="2"/>
      <c r="F482" s="2" t="s">
        <v>8</v>
      </c>
      <c r="G482" s="24" t="s">
        <v>96</v>
      </c>
    </row>
    <row r="483" spans="1:7" x14ac:dyDescent="0.2">
      <c r="A483" s="2" t="s">
        <v>2342</v>
      </c>
      <c r="B483" s="2" t="s">
        <v>2343</v>
      </c>
      <c r="C483" s="2" t="s">
        <v>61</v>
      </c>
      <c r="D483" s="27">
        <v>45953</v>
      </c>
      <c r="E483" s="2"/>
      <c r="F483" s="2" t="s">
        <v>8</v>
      </c>
      <c r="G483" s="24" t="s">
        <v>96</v>
      </c>
    </row>
    <row r="484" spans="1:7" x14ac:dyDescent="0.2">
      <c r="A484" s="2" t="s">
        <v>2344</v>
      </c>
      <c r="B484" s="2" t="s">
        <v>2345</v>
      </c>
      <c r="C484" s="2" t="s">
        <v>61</v>
      </c>
      <c r="D484" s="27">
        <v>45951</v>
      </c>
      <c r="E484" s="2"/>
      <c r="F484" s="2" t="s">
        <v>8</v>
      </c>
      <c r="G484" s="24" t="s">
        <v>96</v>
      </c>
    </row>
    <row r="485" spans="1:7" x14ac:dyDescent="0.2">
      <c r="A485" s="2" t="s">
        <v>2346</v>
      </c>
      <c r="B485" s="2" t="s">
        <v>2347</v>
      </c>
      <c r="C485" s="2" t="s">
        <v>61</v>
      </c>
      <c r="D485" s="27">
        <v>45959</v>
      </c>
      <c r="E485" s="2"/>
      <c r="F485" s="2" t="s">
        <v>8</v>
      </c>
      <c r="G485" s="24" t="s">
        <v>96</v>
      </c>
    </row>
    <row r="486" spans="1:7" x14ac:dyDescent="0.2">
      <c r="A486" s="2" t="s">
        <v>2348</v>
      </c>
      <c r="B486" s="2" t="s">
        <v>2349</v>
      </c>
      <c r="C486" s="2" t="s">
        <v>61</v>
      </c>
      <c r="D486" s="27">
        <v>45951</v>
      </c>
      <c r="E486" s="2"/>
      <c r="F486" s="2" t="s">
        <v>8</v>
      </c>
      <c r="G486" s="24" t="s">
        <v>96</v>
      </c>
    </row>
    <row r="487" spans="1:7" x14ac:dyDescent="0.2">
      <c r="A487" s="2" t="s">
        <v>2350</v>
      </c>
      <c r="B487" s="2" t="s">
        <v>2351</v>
      </c>
      <c r="C487" s="2" t="s">
        <v>61</v>
      </c>
      <c r="D487" s="27">
        <v>45952</v>
      </c>
      <c r="E487" s="2"/>
      <c r="F487" s="2" t="s">
        <v>8</v>
      </c>
      <c r="G487" s="24" t="s">
        <v>96</v>
      </c>
    </row>
    <row r="488" spans="1:7" x14ac:dyDescent="0.2">
      <c r="A488" s="2" t="s">
        <v>2352</v>
      </c>
      <c r="B488" s="2" t="s">
        <v>2353</v>
      </c>
      <c r="C488" s="2" t="s">
        <v>61</v>
      </c>
      <c r="D488" s="27">
        <v>45932</v>
      </c>
      <c r="E488" s="2"/>
      <c r="F488" s="2" t="s">
        <v>8</v>
      </c>
      <c r="G488" s="24" t="s">
        <v>96</v>
      </c>
    </row>
    <row r="489" spans="1:7" x14ac:dyDescent="0.2">
      <c r="A489" s="2" t="s">
        <v>2354</v>
      </c>
      <c r="B489" s="2" t="s">
        <v>2355</v>
      </c>
      <c r="C489" s="2" t="s">
        <v>61</v>
      </c>
      <c r="D489" s="27">
        <v>45946</v>
      </c>
      <c r="E489" s="2"/>
      <c r="F489" s="2" t="s">
        <v>8</v>
      </c>
      <c r="G489" s="24" t="s">
        <v>96</v>
      </c>
    </row>
    <row r="490" spans="1:7" x14ac:dyDescent="0.2">
      <c r="A490" s="2" t="s">
        <v>2356</v>
      </c>
      <c r="B490" s="2" t="s">
        <v>2357</v>
      </c>
      <c r="C490" s="2" t="s">
        <v>61</v>
      </c>
      <c r="D490" s="27">
        <v>45951</v>
      </c>
      <c r="E490" s="2"/>
      <c r="F490" s="2" t="s">
        <v>8</v>
      </c>
      <c r="G490" s="24" t="s">
        <v>96</v>
      </c>
    </row>
    <row r="491" spans="1:7" x14ac:dyDescent="0.2">
      <c r="A491" s="2" t="s">
        <v>2358</v>
      </c>
      <c r="B491" s="2" t="s">
        <v>2359</v>
      </c>
      <c r="C491" s="2" t="s">
        <v>61</v>
      </c>
      <c r="D491" s="27">
        <v>45953</v>
      </c>
      <c r="E491" s="2"/>
      <c r="F491" s="2" t="s">
        <v>8</v>
      </c>
      <c r="G491" s="24" t="s">
        <v>96</v>
      </c>
    </row>
    <row r="492" spans="1:7" x14ac:dyDescent="0.2">
      <c r="A492" s="2" t="s">
        <v>2360</v>
      </c>
      <c r="B492" s="2" t="s">
        <v>2361</v>
      </c>
      <c r="C492" s="2" t="s">
        <v>61</v>
      </c>
      <c r="D492" s="27">
        <v>45944</v>
      </c>
      <c r="E492" s="2"/>
      <c r="F492" s="2" t="s">
        <v>8</v>
      </c>
      <c r="G492" s="24" t="s">
        <v>96</v>
      </c>
    </row>
    <row r="493" spans="1:7" x14ac:dyDescent="0.2">
      <c r="A493" s="2" t="s">
        <v>2362</v>
      </c>
      <c r="B493" s="2" t="s">
        <v>2363</v>
      </c>
      <c r="C493" s="2" t="s">
        <v>61</v>
      </c>
      <c r="D493" s="27">
        <v>45945</v>
      </c>
      <c r="E493" s="2"/>
      <c r="F493" s="2" t="s">
        <v>8</v>
      </c>
      <c r="G493" s="24" t="s">
        <v>58</v>
      </c>
    </row>
    <row r="494" spans="1:7" x14ac:dyDescent="0.2">
      <c r="A494" s="2" t="s">
        <v>2364</v>
      </c>
      <c r="B494" s="2" t="s">
        <v>2365</v>
      </c>
      <c r="C494" s="2" t="s">
        <v>61</v>
      </c>
      <c r="D494" s="27">
        <v>45953</v>
      </c>
      <c r="E494" s="2"/>
      <c r="F494" s="2" t="s">
        <v>8</v>
      </c>
      <c r="G494" s="24" t="s">
        <v>96</v>
      </c>
    </row>
    <row r="495" spans="1:7" x14ac:dyDescent="0.2">
      <c r="A495" s="2" t="s">
        <v>2366</v>
      </c>
      <c r="B495" s="2" t="s">
        <v>2367</v>
      </c>
      <c r="C495" s="2" t="s">
        <v>61</v>
      </c>
      <c r="D495" s="27">
        <v>45952</v>
      </c>
      <c r="E495" s="2"/>
      <c r="F495" s="2" t="s">
        <v>8</v>
      </c>
      <c r="G495" s="24" t="s">
        <v>96</v>
      </c>
    </row>
    <row r="496" spans="1:7" x14ac:dyDescent="0.2">
      <c r="A496" s="2" t="s">
        <v>2368</v>
      </c>
      <c r="B496" s="2" t="s">
        <v>2369</v>
      </c>
      <c r="C496" s="2" t="s">
        <v>61</v>
      </c>
      <c r="D496" s="27">
        <v>45952</v>
      </c>
      <c r="E496" s="2"/>
      <c r="F496" s="2" t="s">
        <v>8</v>
      </c>
      <c r="G496" s="24" t="s">
        <v>96</v>
      </c>
    </row>
    <row r="497" spans="1:7" x14ac:dyDescent="0.2">
      <c r="A497" s="2" t="s">
        <v>2370</v>
      </c>
      <c r="B497" s="2" t="s">
        <v>2371</v>
      </c>
      <c r="C497" s="2" t="s">
        <v>61</v>
      </c>
      <c r="D497" s="27">
        <v>45931</v>
      </c>
      <c r="E497" s="2"/>
      <c r="F497" s="2" t="s">
        <v>8</v>
      </c>
      <c r="G497" s="24" t="s">
        <v>96</v>
      </c>
    </row>
    <row r="498" spans="1:7" x14ac:dyDescent="0.2">
      <c r="A498" s="2" t="s">
        <v>2372</v>
      </c>
      <c r="B498" s="2" t="s">
        <v>2373</v>
      </c>
      <c r="C498" s="2" t="s">
        <v>61</v>
      </c>
      <c r="D498" s="27">
        <v>45947</v>
      </c>
      <c r="E498" s="2"/>
      <c r="F498" s="2" t="s">
        <v>8</v>
      </c>
      <c r="G498" s="24" t="s">
        <v>96</v>
      </c>
    </row>
    <row r="499" spans="1:7" x14ac:dyDescent="0.2">
      <c r="A499" s="2" t="s">
        <v>2374</v>
      </c>
      <c r="B499" s="2" t="s">
        <v>2375</v>
      </c>
      <c r="C499" s="2" t="s">
        <v>61</v>
      </c>
      <c r="D499" s="27">
        <v>45947</v>
      </c>
      <c r="E499" s="2"/>
      <c r="F499" s="2" t="s">
        <v>8</v>
      </c>
      <c r="G499" s="24" t="s">
        <v>96</v>
      </c>
    </row>
    <row r="500" spans="1:7" x14ac:dyDescent="0.2">
      <c r="A500" s="2" t="s">
        <v>2376</v>
      </c>
      <c r="B500" s="2" t="s">
        <v>2377</v>
      </c>
      <c r="C500" s="2" t="s">
        <v>61</v>
      </c>
      <c r="D500" s="27">
        <v>45931</v>
      </c>
      <c r="E500" s="2"/>
      <c r="F500" s="2" t="s">
        <v>8</v>
      </c>
      <c r="G500" s="24" t="s">
        <v>96</v>
      </c>
    </row>
    <row r="501" spans="1:7" x14ac:dyDescent="0.2">
      <c r="A501" s="2" t="s">
        <v>2378</v>
      </c>
      <c r="B501" s="2" t="s">
        <v>2379</v>
      </c>
      <c r="C501" s="2" t="s">
        <v>61</v>
      </c>
      <c r="D501" s="27">
        <v>45960</v>
      </c>
      <c r="E501" s="2"/>
      <c r="F501" s="2" t="s">
        <v>8</v>
      </c>
      <c r="G501" s="24" t="s">
        <v>96</v>
      </c>
    </row>
    <row r="502" spans="1:7" x14ac:dyDescent="0.2">
      <c r="A502" s="2" t="s">
        <v>2380</v>
      </c>
      <c r="B502" s="2" t="s">
        <v>2381</v>
      </c>
      <c r="C502" s="2" t="s">
        <v>61</v>
      </c>
      <c r="D502" s="27">
        <v>45933</v>
      </c>
      <c r="E502" s="2"/>
      <c r="F502" s="2" t="s">
        <v>8</v>
      </c>
      <c r="G502" s="24" t="s">
        <v>96</v>
      </c>
    </row>
    <row r="503" spans="1:7" x14ac:dyDescent="0.2">
      <c r="A503" s="2" t="s">
        <v>2382</v>
      </c>
      <c r="B503" s="2" t="s">
        <v>2383</v>
      </c>
      <c r="C503" s="2" t="s">
        <v>61</v>
      </c>
      <c r="D503" s="27">
        <v>45959</v>
      </c>
      <c r="E503" s="2"/>
      <c r="F503" s="2" t="s">
        <v>8</v>
      </c>
      <c r="G503" s="24" t="s">
        <v>96</v>
      </c>
    </row>
    <row r="504" spans="1:7" x14ac:dyDescent="0.2">
      <c r="A504" s="2" t="s">
        <v>2384</v>
      </c>
      <c r="B504" s="2" t="s">
        <v>2385</v>
      </c>
      <c r="C504" s="2" t="s">
        <v>61</v>
      </c>
      <c r="D504" s="27">
        <v>45949</v>
      </c>
      <c r="E504" s="2"/>
      <c r="F504" s="2" t="s">
        <v>8</v>
      </c>
      <c r="G504" s="24" t="s">
        <v>96</v>
      </c>
    </row>
    <row r="505" spans="1:7" x14ac:dyDescent="0.2">
      <c r="A505" s="2" t="s">
        <v>2386</v>
      </c>
      <c r="B505" s="2" t="s">
        <v>2387</v>
      </c>
      <c r="C505" s="2" t="s">
        <v>61</v>
      </c>
      <c r="D505" s="27">
        <v>45945</v>
      </c>
      <c r="E505" s="2"/>
      <c r="F505" s="2" t="s">
        <v>8</v>
      </c>
      <c r="G505" s="24" t="s">
        <v>1367</v>
      </c>
    </row>
    <row r="506" spans="1:7" x14ac:dyDescent="0.2">
      <c r="A506" s="2" t="s">
        <v>2388</v>
      </c>
      <c r="B506" s="2" t="s">
        <v>2389</v>
      </c>
      <c r="C506" s="2" t="s">
        <v>61</v>
      </c>
      <c r="D506" s="27">
        <v>45953</v>
      </c>
      <c r="E506" s="2"/>
      <c r="F506" s="2" t="s">
        <v>8</v>
      </c>
      <c r="G506" s="24" t="s">
        <v>1367</v>
      </c>
    </row>
    <row r="507" spans="1:7" x14ac:dyDescent="0.2">
      <c r="A507" s="2" t="s">
        <v>2390</v>
      </c>
      <c r="B507" s="2" t="s">
        <v>2391</v>
      </c>
      <c r="C507" s="2" t="s">
        <v>61</v>
      </c>
      <c r="D507" s="27">
        <v>45938</v>
      </c>
      <c r="E507" s="2"/>
      <c r="F507" s="2" t="s">
        <v>8</v>
      </c>
      <c r="G507" s="24" t="s">
        <v>96</v>
      </c>
    </row>
    <row r="508" spans="1:7" x14ac:dyDescent="0.2">
      <c r="A508" s="2" t="s">
        <v>2392</v>
      </c>
      <c r="B508" s="2" t="s">
        <v>2393</v>
      </c>
      <c r="C508" s="2" t="s">
        <v>61</v>
      </c>
      <c r="D508" s="27">
        <v>45959</v>
      </c>
      <c r="E508" s="2"/>
      <c r="F508" s="2" t="s">
        <v>8</v>
      </c>
      <c r="G508" s="24" t="s">
        <v>96</v>
      </c>
    </row>
    <row r="509" spans="1:7" x14ac:dyDescent="0.2">
      <c r="A509" s="2" t="s">
        <v>2394</v>
      </c>
      <c r="B509" s="2" t="s">
        <v>2395</v>
      </c>
      <c r="C509" s="2" t="s">
        <v>61</v>
      </c>
      <c r="D509" s="27">
        <v>45953</v>
      </c>
      <c r="E509" s="2"/>
      <c r="F509" s="2" t="s">
        <v>8</v>
      </c>
      <c r="G509" s="24" t="s">
        <v>96</v>
      </c>
    </row>
    <row r="510" spans="1:7" x14ac:dyDescent="0.2">
      <c r="A510" s="2" t="s">
        <v>2396</v>
      </c>
      <c r="B510" s="2" t="s">
        <v>2397</v>
      </c>
      <c r="C510" s="2" t="s">
        <v>61</v>
      </c>
      <c r="D510" s="27">
        <v>45940</v>
      </c>
      <c r="E510" s="2"/>
      <c r="F510" s="2" t="s">
        <v>8</v>
      </c>
      <c r="G510" s="24" t="s">
        <v>96</v>
      </c>
    </row>
    <row r="511" spans="1:7" x14ac:dyDescent="0.2">
      <c r="A511" s="2" t="s">
        <v>2398</v>
      </c>
      <c r="B511" s="2" t="s">
        <v>2399</v>
      </c>
      <c r="C511" s="2" t="s">
        <v>61</v>
      </c>
      <c r="D511" s="27">
        <v>45959</v>
      </c>
      <c r="E511" s="2"/>
      <c r="F511" s="2" t="s">
        <v>8</v>
      </c>
      <c r="G511" s="24" t="s">
        <v>96</v>
      </c>
    </row>
    <row r="512" spans="1:7" x14ac:dyDescent="0.2">
      <c r="A512" s="2" t="s">
        <v>2400</v>
      </c>
      <c r="B512" s="2" t="s">
        <v>2401</v>
      </c>
      <c r="C512" s="2" t="s">
        <v>61</v>
      </c>
      <c r="D512" s="27">
        <v>45959</v>
      </c>
      <c r="E512" s="2"/>
      <c r="F512" s="2" t="s">
        <v>8</v>
      </c>
      <c r="G512" s="24" t="s">
        <v>96</v>
      </c>
    </row>
    <row r="513" spans="1:7" x14ac:dyDescent="0.2">
      <c r="A513" s="2" t="s">
        <v>2402</v>
      </c>
      <c r="B513" s="2" t="s">
        <v>2403</v>
      </c>
      <c r="C513" s="2" t="s">
        <v>61</v>
      </c>
      <c r="D513" s="27">
        <v>45933</v>
      </c>
      <c r="E513" s="2"/>
      <c r="F513" s="2" t="s">
        <v>8</v>
      </c>
      <c r="G513" s="24" t="s">
        <v>96</v>
      </c>
    </row>
    <row r="514" spans="1:7" x14ac:dyDescent="0.2">
      <c r="A514" s="2" t="s">
        <v>2404</v>
      </c>
      <c r="B514" s="2" t="s">
        <v>2405</v>
      </c>
      <c r="C514" s="2" t="s">
        <v>61</v>
      </c>
      <c r="D514" s="27">
        <v>45957</v>
      </c>
      <c r="E514" s="2"/>
      <c r="F514" s="2" t="s">
        <v>8</v>
      </c>
      <c r="G514" s="24" t="s">
        <v>96</v>
      </c>
    </row>
    <row r="515" spans="1:7" x14ac:dyDescent="0.2">
      <c r="A515" s="2" t="s">
        <v>2406</v>
      </c>
      <c r="B515" s="2" t="s">
        <v>2407</v>
      </c>
      <c r="C515" s="2" t="s">
        <v>61</v>
      </c>
      <c r="D515" s="27">
        <v>45959</v>
      </c>
      <c r="E515" s="2"/>
      <c r="F515" s="2" t="s">
        <v>8</v>
      </c>
      <c r="G515" s="24" t="s">
        <v>96</v>
      </c>
    </row>
    <row r="516" spans="1:7" x14ac:dyDescent="0.2">
      <c r="A516" s="2" t="s">
        <v>2408</v>
      </c>
      <c r="B516" s="2" t="s">
        <v>2409</v>
      </c>
      <c r="C516" s="2" t="s">
        <v>61</v>
      </c>
      <c r="D516" s="27">
        <v>45958</v>
      </c>
      <c r="E516" s="2"/>
      <c r="F516" s="2" t="s">
        <v>8</v>
      </c>
      <c r="G516" s="24" t="s">
        <v>96</v>
      </c>
    </row>
    <row r="517" spans="1:7" x14ac:dyDescent="0.2">
      <c r="A517" s="2" t="s">
        <v>2410</v>
      </c>
      <c r="B517" s="2" t="s">
        <v>2411</v>
      </c>
      <c r="C517" s="2" t="s">
        <v>61</v>
      </c>
      <c r="D517" s="27">
        <v>45958</v>
      </c>
      <c r="E517" s="2"/>
      <c r="F517" s="2" t="s">
        <v>8</v>
      </c>
      <c r="G517" s="24" t="s">
        <v>96</v>
      </c>
    </row>
    <row r="518" spans="1:7" x14ac:dyDescent="0.2">
      <c r="A518" s="2" t="s">
        <v>2412</v>
      </c>
      <c r="B518" s="2" t="s">
        <v>2413</v>
      </c>
      <c r="C518" s="2" t="s">
        <v>61</v>
      </c>
      <c r="D518" s="27">
        <v>45952</v>
      </c>
      <c r="E518" s="2"/>
      <c r="F518" s="2" t="s">
        <v>8</v>
      </c>
      <c r="G518" s="24" t="s">
        <v>96</v>
      </c>
    </row>
    <row r="519" spans="1:7" x14ac:dyDescent="0.2">
      <c r="A519" s="2" t="s">
        <v>2414</v>
      </c>
      <c r="B519" s="2" t="s">
        <v>2415</v>
      </c>
      <c r="C519" s="2" t="s">
        <v>61</v>
      </c>
      <c r="D519" s="27">
        <v>45937</v>
      </c>
      <c r="E519" s="2"/>
      <c r="F519" s="2" t="s">
        <v>8</v>
      </c>
      <c r="G519" s="24" t="s">
        <v>96</v>
      </c>
    </row>
    <row r="520" spans="1:7" x14ac:dyDescent="0.2">
      <c r="A520" s="2" t="s">
        <v>2416</v>
      </c>
      <c r="B520" s="2" t="s">
        <v>2417</v>
      </c>
      <c r="C520" s="2" t="s">
        <v>61</v>
      </c>
      <c r="D520" s="27">
        <v>45939</v>
      </c>
      <c r="E520" s="2"/>
      <c r="F520" s="2" t="s">
        <v>8</v>
      </c>
      <c r="G520" s="24" t="s">
        <v>96</v>
      </c>
    </row>
    <row r="521" spans="1:7" x14ac:dyDescent="0.2">
      <c r="A521" s="2" t="s">
        <v>2418</v>
      </c>
      <c r="B521" s="2" t="s">
        <v>2419</v>
      </c>
      <c r="C521" s="2" t="s">
        <v>61</v>
      </c>
      <c r="D521" s="27">
        <v>45953</v>
      </c>
      <c r="E521" s="2"/>
      <c r="F521" s="2" t="s">
        <v>8</v>
      </c>
      <c r="G521" s="24" t="s">
        <v>96</v>
      </c>
    </row>
    <row r="522" spans="1:7" x14ac:dyDescent="0.2">
      <c r="A522" s="2" t="s">
        <v>2420</v>
      </c>
      <c r="B522" s="2" t="s">
        <v>2421</v>
      </c>
      <c r="C522" s="2" t="s">
        <v>61</v>
      </c>
      <c r="D522" s="27">
        <v>45933</v>
      </c>
      <c r="E522" s="2"/>
      <c r="F522" s="2" t="s">
        <v>8</v>
      </c>
      <c r="G522" s="24" t="s">
        <v>96</v>
      </c>
    </row>
    <row r="523" spans="1:7" x14ac:dyDescent="0.2">
      <c r="A523" s="2" t="s">
        <v>2422</v>
      </c>
      <c r="B523" s="2" t="s">
        <v>2423</v>
      </c>
      <c r="C523" s="2" t="s">
        <v>61</v>
      </c>
      <c r="D523" s="27">
        <v>45942</v>
      </c>
      <c r="E523" s="2"/>
      <c r="F523" s="2" t="s">
        <v>8</v>
      </c>
      <c r="G523" s="24" t="s">
        <v>96</v>
      </c>
    </row>
    <row r="524" spans="1:7" x14ac:dyDescent="0.2">
      <c r="A524" s="2" t="s">
        <v>2424</v>
      </c>
      <c r="B524" s="2" t="s">
        <v>2425</v>
      </c>
      <c r="C524" s="2" t="s">
        <v>61</v>
      </c>
      <c r="D524" s="27">
        <v>45947</v>
      </c>
      <c r="E524" s="2"/>
      <c r="F524" s="2" t="s">
        <v>8</v>
      </c>
      <c r="G524" s="24" t="s">
        <v>96</v>
      </c>
    </row>
    <row r="525" spans="1:7" x14ac:dyDescent="0.2">
      <c r="A525" s="2" t="s">
        <v>2426</v>
      </c>
      <c r="B525" s="2" t="s">
        <v>2427</v>
      </c>
      <c r="C525" s="2" t="s">
        <v>61</v>
      </c>
      <c r="D525" s="27">
        <v>45958</v>
      </c>
      <c r="E525" s="2"/>
      <c r="F525" s="2" t="s">
        <v>8</v>
      </c>
      <c r="G525" s="24" t="s">
        <v>96</v>
      </c>
    </row>
    <row r="526" spans="1:7" x14ac:dyDescent="0.2">
      <c r="A526" s="2" t="s">
        <v>2428</v>
      </c>
      <c r="B526" s="2" t="s">
        <v>2429</v>
      </c>
      <c r="C526" s="2" t="s">
        <v>61</v>
      </c>
      <c r="D526" s="27">
        <v>45951</v>
      </c>
      <c r="E526" s="2"/>
      <c r="F526" s="2" t="s">
        <v>8</v>
      </c>
      <c r="G526" s="24" t="s">
        <v>96</v>
      </c>
    </row>
    <row r="527" spans="1:7" x14ac:dyDescent="0.2">
      <c r="A527" s="2" t="s">
        <v>2430</v>
      </c>
      <c r="B527" s="2" t="s">
        <v>2431</v>
      </c>
      <c r="C527" s="2" t="s">
        <v>61</v>
      </c>
      <c r="D527" s="27">
        <v>45953</v>
      </c>
      <c r="E527" s="2"/>
      <c r="F527" s="2" t="s">
        <v>8</v>
      </c>
      <c r="G527" s="24" t="s">
        <v>96</v>
      </c>
    </row>
    <row r="528" spans="1:7" x14ac:dyDescent="0.2">
      <c r="A528" s="2" t="s">
        <v>2432</v>
      </c>
      <c r="B528" s="2" t="s">
        <v>2433</v>
      </c>
      <c r="C528" s="2" t="s">
        <v>61</v>
      </c>
      <c r="D528" s="27">
        <v>45954</v>
      </c>
      <c r="E528" s="2"/>
      <c r="F528" s="2" t="s">
        <v>8</v>
      </c>
      <c r="G528" s="24" t="s">
        <v>96</v>
      </c>
    </row>
    <row r="529" spans="1:7" x14ac:dyDescent="0.2">
      <c r="A529" s="2" t="s">
        <v>2434</v>
      </c>
      <c r="B529" s="2" t="s">
        <v>2435</v>
      </c>
      <c r="C529" s="2" t="s">
        <v>61</v>
      </c>
      <c r="D529" s="27">
        <v>45943</v>
      </c>
      <c r="E529" s="2"/>
      <c r="F529" s="2" t="s">
        <v>8</v>
      </c>
      <c r="G529" s="24" t="s">
        <v>96</v>
      </c>
    </row>
    <row r="530" spans="1:7" x14ac:dyDescent="0.2">
      <c r="A530" s="2" t="s">
        <v>2436</v>
      </c>
      <c r="B530" s="2" t="s">
        <v>2437</v>
      </c>
      <c r="C530" s="2" t="s">
        <v>61</v>
      </c>
      <c r="D530" s="27">
        <v>45953</v>
      </c>
      <c r="E530" s="2"/>
      <c r="F530" s="2" t="s">
        <v>8</v>
      </c>
      <c r="G530" s="24" t="s">
        <v>96</v>
      </c>
    </row>
    <row r="531" spans="1:7" x14ac:dyDescent="0.2">
      <c r="A531" s="2" t="s">
        <v>2438</v>
      </c>
      <c r="B531" s="2" t="s">
        <v>2439</v>
      </c>
      <c r="C531" s="2" t="s">
        <v>61</v>
      </c>
      <c r="D531" s="27">
        <v>45950</v>
      </c>
      <c r="E531" s="2"/>
      <c r="F531" s="2" t="s">
        <v>8</v>
      </c>
      <c r="G531" s="24" t="s">
        <v>96</v>
      </c>
    </row>
    <row r="532" spans="1:7" x14ac:dyDescent="0.2">
      <c r="A532" s="2" t="s">
        <v>2440</v>
      </c>
      <c r="B532" s="2" t="s">
        <v>2441</v>
      </c>
      <c r="C532" s="2" t="s">
        <v>61</v>
      </c>
      <c r="D532" s="27">
        <v>45946</v>
      </c>
      <c r="E532" s="2"/>
      <c r="F532" s="2" t="s">
        <v>8</v>
      </c>
      <c r="G532" s="24" t="s">
        <v>96</v>
      </c>
    </row>
    <row r="533" spans="1:7" x14ac:dyDescent="0.2">
      <c r="A533" s="2" t="s">
        <v>2442</v>
      </c>
      <c r="B533" s="2" t="s">
        <v>2443</v>
      </c>
      <c r="C533" s="2" t="s">
        <v>61</v>
      </c>
      <c r="D533" s="27">
        <v>45959</v>
      </c>
      <c r="E533" s="2"/>
      <c r="F533" s="2" t="s">
        <v>8</v>
      </c>
      <c r="G533" s="24" t="s">
        <v>96</v>
      </c>
    </row>
    <row r="534" spans="1:7" x14ac:dyDescent="0.2">
      <c r="A534" s="2" t="s">
        <v>2444</v>
      </c>
      <c r="B534" s="2" t="s">
        <v>2445</v>
      </c>
      <c r="C534" s="2" t="s">
        <v>61</v>
      </c>
      <c r="D534" s="27">
        <v>45936</v>
      </c>
      <c r="E534" s="2"/>
      <c r="F534" s="2" t="s">
        <v>8</v>
      </c>
      <c r="G534" s="24" t="s">
        <v>1365</v>
      </c>
    </row>
    <row r="535" spans="1:7" x14ac:dyDescent="0.2">
      <c r="A535" s="2" t="s">
        <v>2446</v>
      </c>
      <c r="B535" s="2" t="s">
        <v>2447</v>
      </c>
      <c r="C535" s="2" t="s">
        <v>61</v>
      </c>
      <c r="D535" s="27">
        <v>45933</v>
      </c>
      <c r="E535" s="2"/>
      <c r="F535" s="2" t="s">
        <v>8</v>
      </c>
      <c r="G535" s="24" t="s">
        <v>593</v>
      </c>
    </row>
    <row r="536" spans="1:7" x14ac:dyDescent="0.2">
      <c r="A536" s="2" t="s">
        <v>2448</v>
      </c>
      <c r="B536" s="2" t="s">
        <v>2449</v>
      </c>
      <c r="C536" s="2" t="s">
        <v>61</v>
      </c>
      <c r="D536" s="27">
        <v>45951</v>
      </c>
      <c r="E536" s="2"/>
      <c r="F536" s="2" t="s">
        <v>8</v>
      </c>
      <c r="G536" s="24" t="s">
        <v>79</v>
      </c>
    </row>
    <row r="537" spans="1:7" x14ac:dyDescent="0.2">
      <c r="A537" s="2" t="s">
        <v>2450</v>
      </c>
      <c r="B537" s="2" t="s">
        <v>2451</v>
      </c>
      <c r="C537" s="2" t="s">
        <v>61</v>
      </c>
      <c r="D537" s="27">
        <v>45931</v>
      </c>
      <c r="E537" s="2"/>
      <c r="F537" s="2" t="s">
        <v>8</v>
      </c>
      <c r="G537" s="24" t="s">
        <v>97</v>
      </c>
    </row>
    <row r="538" spans="1:7" x14ac:dyDescent="0.2">
      <c r="A538" s="2" t="s">
        <v>2452</v>
      </c>
      <c r="B538" s="2" t="s">
        <v>2453</v>
      </c>
      <c r="C538" s="2" t="s">
        <v>61</v>
      </c>
      <c r="D538" s="27">
        <v>45952</v>
      </c>
      <c r="E538" s="2"/>
      <c r="F538" s="2" t="s">
        <v>8</v>
      </c>
      <c r="G538" s="24" t="s">
        <v>3899</v>
      </c>
    </row>
    <row r="539" spans="1:7" x14ac:dyDescent="0.2">
      <c r="A539" s="2" t="s">
        <v>2454</v>
      </c>
      <c r="B539" s="2" t="s">
        <v>2455</v>
      </c>
      <c r="C539" s="2" t="s">
        <v>61</v>
      </c>
      <c r="D539" s="27">
        <v>45954</v>
      </c>
      <c r="E539" s="2"/>
      <c r="F539" s="2" t="s">
        <v>8</v>
      </c>
      <c r="G539" s="24" t="s">
        <v>58</v>
      </c>
    </row>
    <row r="540" spans="1:7" x14ac:dyDescent="0.2">
      <c r="A540" s="2" t="s">
        <v>2456</v>
      </c>
      <c r="B540" s="2" t="s">
        <v>2457</v>
      </c>
      <c r="C540" s="2" t="s">
        <v>61</v>
      </c>
      <c r="D540" s="27">
        <v>45951</v>
      </c>
      <c r="E540" s="2"/>
      <c r="F540" s="2" t="s">
        <v>8</v>
      </c>
      <c r="G540" s="24" t="s">
        <v>3899</v>
      </c>
    </row>
    <row r="541" spans="1:7" x14ac:dyDescent="0.2">
      <c r="A541" s="2" t="s">
        <v>2458</v>
      </c>
      <c r="B541" s="2" t="s">
        <v>2459</v>
      </c>
      <c r="C541" s="2" t="s">
        <v>61</v>
      </c>
      <c r="D541" s="27">
        <v>45948</v>
      </c>
      <c r="E541" s="2"/>
      <c r="F541" s="2" t="s">
        <v>8</v>
      </c>
      <c r="G541" s="24" t="s">
        <v>3896</v>
      </c>
    </row>
    <row r="542" spans="1:7" x14ac:dyDescent="0.2">
      <c r="A542" s="2" t="s">
        <v>2460</v>
      </c>
      <c r="B542" s="2" t="s">
        <v>2461</v>
      </c>
      <c r="C542" s="2" t="s">
        <v>61</v>
      </c>
      <c r="D542" s="27">
        <v>45950</v>
      </c>
      <c r="E542" s="2"/>
      <c r="F542" s="2" t="s">
        <v>8</v>
      </c>
      <c r="G542" s="24" t="s">
        <v>595</v>
      </c>
    </row>
    <row r="543" spans="1:7" x14ac:dyDescent="0.2">
      <c r="A543" s="2" t="s">
        <v>2462</v>
      </c>
      <c r="B543" s="2" t="s">
        <v>2463</v>
      </c>
      <c r="C543" s="2" t="s">
        <v>61</v>
      </c>
      <c r="D543" s="27">
        <v>45957</v>
      </c>
      <c r="E543" s="2"/>
      <c r="F543" s="2" t="s">
        <v>8</v>
      </c>
      <c r="G543" s="24" t="s">
        <v>595</v>
      </c>
    </row>
    <row r="544" spans="1:7" x14ac:dyDescent="0.2">
      <c r="A544" s="2" t="s">
        <v>2464</v>
      </c>
      <c r="B544" s="2" t="s">
        <v>2465</v>
      </c>
      <c r="C544" s="2" t="s">
        <v>61</v>
      </c>
      <c r="D544" s="27">
        <v>45952</v>
      </c>
      <c r="E544" s="2"/>
      <c r="F544" s="2" t="s">
        <v>8</v>
      </c>
      <c r="G544" s="24" t="s">
        <v>1368</v>
      </c>
    </row>
    <row r="545" spans="1:7" x14ac:dyDescent="0.2">
      <c r="A545" s="2" t="s">
        <v>2466</v>
      </c>
      <c r="B545" s="2" t="s">
        <v>2467</v>
      </c>
      <c r="C545" s="2" t="s">
        <v>61</v>
      </c>
      <c r="D545" s="27">
        <v>45932</v>
      </c>
      <c r="E545" s="2"/>
      <c r="F545" s="2" t="s">
        <v>8</v>
      </c>
      <c r="G545" s="24" t="s">
        <v>593</v>
      </c>
    </row>
    <row r="546" spans="1:7" x14ac:dyDescent="0.2">
      <c r="A546" s="2" t="s">
        <v>2468</v>
      </c>
      <c r="B546" s="2" t="s">
        <v>93</v>
      </c>
      <c r="C546" s="2" t="s">
        <v>61</v>
      </c>
      <c r="D546" s="27">
        <v>45933</v>
      </c>
      <c r="E546" s="2"/>
      <c r="F546" s="2" t="s">
        <v>8</v>
      </c>
      <c r="G546" s="24" t="s">
        <v>66</v>
      </c>
    </row>
    <row r="547" spans="1:7" x14ac:dyDescent="0.2">
      <c r="A547" s="2" t="s">
        <v>2469</v>
      </c>
      <c r="B547" s="2" t="s">
        <v>2470</v>
      </c>
      <c r="C547" s="2" t="s">
        <v>61</v>
      </c>
      <c r="D547" s="27">
        <v>45951</v>
      </c>
      <c r="E547" s="2"/>
      <c r="F547" s="2" t="s">
        <v>8</v>
      </c>
      <c r="G547" s="24" t="s">
        <v>1368</v>
      </c>
    </row>
    <row r="548" spans="1:7" x14ac:dyDescent="0.2">
      <c r="A548" s="2" t="s">
        <v>2471</v>
      </c>
      <c r="B548" s="2" t="s">
        <v>2472</v>
      </c>
      <c r="C548" s="2" t="s">
        <v>61</v>
      </c>
      <c r="D548" s="27">
        <v>45951</v>
      </c>
      <c r="E548" s="2"/>
      <c r="F548" s="2" t="s">
        <v>8</v>
      </c>
      <c r="G548" s="24" t="s">
        <v>1368</v>
      </c>
    </row>
    <row r="549" spans="1:7" x14ac:dyDescent="0.2">
      <c r="A549" s="2" t="s">
        <v>2473</v>
      </c>
      <c r="B549" s="2" t="s">
        <v>2474</v>
      </c>
      <c r="C549" s="2" t="s">
        <v>61</v>
      </c>
      <c r="D549" s="27">
        <v>45936</v>
      </c>
      <c r="E549" s="2"/>
      <c r="F549" s="2" t="s">
        <v>8</v>
      </c>
      <c r="G549" s="24" t="s">
        <v>1368</v>
      </c>
    </row>
    <row r="550" spans="1:7" x14ac:dyDescent="0.2">
      <c r="A550" s="2" t="s">
        <v>2475</v>
      </c>
      <c r="B550" s="2" t="s">
        <v>2476</v>
      </c>
      <c r="C550" s="2" t="s">
        <v>61</v>
      </c>
      <c r="D550" s="27">
        <v>45936</v>
      </c>
      <c r="E550" s="2"/>
      <c r="F550" s="2" t="s">
        <v>8</v>
      </c>
      <c r="G550" s="24" t="s">
        <v>1368</v>
      </c>
    </row>
    <row r="551" spans="1:7" x14ac:dyDescent="0.2">
      <c r="A551" s="2" t="s">
        <v>2477</v>
      </c>
      <c r="B551" s="2" t="s">
        <v>2478</v>
      </c>
      <c r="C551" s="2" t="s">
        <v>61</v>
      </c>
      <c r="D551" s="27">
        <v>45940</v>
      </c>
      <c r="E551" s="2"/>
      <c r="F551" s="2" t="s">
        <v>8</v>
      </c>
      <c r="G551" s="24" t="s">
        <v>65</v>
      </c>
    </row>
    <row r="552" spans="1:7" x14ac:dyDescent="0.2">
      <c r="A552" s="2" t="s">
        <v>2479</v>
      </c>
      <c r="B552" s="2" t="s">
        <v>2480</v>
      </c>
      <c r="C552" s="2" t="s">
        <v>61</v>
      </c>
      <c r="D552" s="27">
        <v>45940</v>
      </c>
      <c r="E552" s="2"/>
      <c r="F552" s="2" t="s">
        <v>8</v>
      </c>
      <c r="G552" s="24" t="s">
        <v>65</v>
      </c>
    </row>
    <row r="553" spans="1:7" x14ac:dyDescent="0.2">
      <c r="A553" s="2" t="s">
        <v>2481</v>
      </c>
      <c r="B553" s="2" t="s">
        <v>2482</v>
      </c>
      <c r="C553" s="2" t="s">
        <v>61</v>
      </c>
      <c r="D553" s="27">
        <v>45952</v>
      </c>
      <c r="E553" s="2"/>
      <c r="F553" s="2" t="s">
        <v>8</v>
      </c>
      <c r="G553" s="24" t="s">
        <v>65</v>
      </c>
    </row>
    <row r="554" spans="1:7" x14ac:dyDescent="0.2">
      <c r="A554" s="2" t="s">
        <v>2483</v>
      </c>
      <c r="B554" s="2" t="s">
        <v>2484</v>
      </c>
      <c r="C554" s="2" t="s">
        <v>61</v>
      </c>
      <c r="D554" s="27">
        <v>45960</v>
      </c>
      <c r="E554" s="2"/>
      <c r="F554" s="2" t="s">
        <v>8</v>
      </c>
      <c r="G554" s="24" t="s">
        <v>65</v>
      </c>
    </row>
    <row r="555" spans="1:7" x14ac:dyDescent="0.2">
      <c r="A555" s="2" t="s">
        <v>2485</v>
      </c>
      <c r="B555" s="2" t="s">
        <v>2486</v>
      </c>
      <c r="C555" s="2" t="s">
        <v>61</v>
      </c>
      <c r="D555" s="27">
        <v>45950</v>
      </c>
      <c r="E555" s="2"/>
      <c r="F555" s="2" t="s">
        <v>8</v>
      </c>
      <c r="G555" s="24" t="s">
        <v>65</v>
      </c>
    </row>
    <row r="556" spans="1:7" x14ac:dyDescent="0.2">
      <c r="A556" s="2" t="s">
        <v>2487</v>
      </c>
      <c r="B556" s="2" t="s">
        <v>2488</v>
      </c>
      <c r="C556" s="2" t="s">
        <v>61</v>
      </c>
      <c r="D556" s="27">
        <v>45952</v>
      </c>
      <c r="E556" s="2"/>
      <c r="F556" s="2" t="s">
        <v>8</v>
      </c>
      <c r="G556" s="24" t="s">
        <v>65</v>
      </c>
    </row>
    <row r="557" spans="1:7" x14ac:dyDescent="0.2">
      <c r="A557" s="2" t="s">
        <v>2489</v>
      </c>
      <c r="B557" s="2" t="s">
        <v>2490</v>
      </c>
      <c r="C557" s="2" t="s">
        <v>61</v>
      </c>
      <c r="D557" s="27">
        <v>45943</v>
      </c>
      <c r="E557" s="2"/>
      <c r="F557" s="2" t="s">
        <v>8</v>
      </c>
      <c r="G557" s="24" t="s">
        <v>65</v>
      </c>
    </row>
    <row r="558" spans="1:7" x14ac:dyDescent="0.2">
      <c r="A558" s="2" t="s">
        <v>2491</v>
      </c>
      <c r="B558" s="2" t="s">
        <v>2492</v>
      </c>
      <c r="C558" s="2" t="s">
        <v>61</v>
      </c>
      <c r="D558" s="27">
        <v>45933</v>
      </c>
      <c r="E558" s="2"/>
      <c r="F558" s="2" t="s">
        <v>8</v>
      </c>
      <c r="G558" s="24" t="s">
        <v>65</v>
      </c>
    </row>
    <row r="559" spans="1:7" x14ac:dyDescent="0.2">
      <c r="A559" s="2" t="s">
        <v>2493</v>
      </c>
      <c r="B559" s="2" t="s">
        <v>2494</v>
      </c>
      <c r="C559" s="2" t="s">
        <v>61</v>
      </c>
      <c r="D559" s="27">
        <v>45954</v>
      </c>
      <c r="E559" s="2"/>
      <c r="F559" s="2" t="s">
        <v>8</v>
      </c>
      <c r="G559" s="24" t="s">
        <v>65</v>
      </c>
    </row>
    <row r="560" spans="1:7" x14ac:dyDescent="0.2">
      <c r="A560" s="2" t="s">
        <v>2495</v>
      </c>
      <c r="B560" s="2" t="s">
        <v>2496</v>
      </c>
      <c r="C560" s="2" t="s">
        <v>61</v>
      </c>
      <c r="D560" s="27">
        <v>45938</v>
      </c>
      <c r="E560" s="2"/>
      <c r="F560" s="2" t="s">
        <v>8</v>
      </c>
      <c r="G560" s="24" t="s">
        <v>65</v>
      </c>
    </row>
    <row r="561" spans="1:7" x14ac:dyDescent="0.2">
      <c r="A561" s="2" t="s">
        <v>2497</v>
      </c>
      <c r="B561" s="2" t="s">
        <v>2498</v>
      </c>
      <c r="C561" s="2" t="s">
        <v>61</v>
      </c>
      <c r="D561" s="27">
        <v>45958</v>
      </c>
      <c r="E561" s="2"/>
      <c r="F561" s="2" t="s">
        <v>8</v>
      </c>
      <c r="G561" s="24" t="s">
        <v>65</v>
      </c>
    </row>
    <row r="562" spans="1:7" x14ac:dyDescent="0.2">
      <c r="A562" s="2" t="s">
        <v>2499</v>
      </c>
      <c r="B562" s="2" t="s">
        <v>2500</v>
      </c>
      <c r="C562" s="2" t="s">
        <v>61</v>
      </c>
      <c r="D562" s="27">
        <v>45946</v>
      </c>
      <c r="E562" s="2"/>
      <c r="F562" s="2" t="s">
        <v>8</v>
      </c>
      <c r="G562" s="24" t="s">
        <v>65</v>
      </c>
    </row>
    <row r="563" spans="1:7" x14ac:dyDescent="0.2">
      <c r="A563" s="2" t="s">
        <v>2501</v>
      </c>
      <c r="B563" s="2" t="s">
        <v>2502</v>
      </c>
      <c r="C563" s="2" t="s">
        <v>61</v>
      </c>
      <c r="D563" s="27">
        <v>45960</v>
      </c>
      <c r="E563" s="2"/>
      <c r="F563" s="2" t="s">
        <v>8</v>
      </c>
      <c r="G563" s="24" t="s">
        <v>65</v>
      </c>
    </row>
    <row r="564" spans="1:7" x14ac:dyDescent="0.2">
      <c r="A564" s="2" t="s">
        <v>2503</v>
      </c>
      <c r="B564" s="2" t="s">
        <v>2504</v>
      </c>
      <c r="C564" s="2" t="s">
        <v>61</v>
      </c>
      <c r="D564" s="27">
        <v>45961</v>
      </c>
      <c r="E564" s="2"/>
      <c r="F564" s="2" t="s">
        <v>8</v>
      </c>
      <c r="G564" s="24" t="s">
        <v>65</v>
      </c>
    </row>
    <row r="565" spans="1:7" x14ac:dyDescent="0.2">
      <c r="A565" s="2" t="s">
        <v>2505</v>
      </c>
      <c r="B565" s="2" t="s">
        <v>2506</v>
      </c>
      <c r="C565" s="2" t="s">
        <v>61</v>
      </c>
      <c r="D565" s="27">
        <v>45947</v>
      </c>
      <c r="E565" s="2"/>
      <c r="F565" s="2" t="s">
        <v>8</v>
      </c>
      <c r="G565" s="24" t="s">
        <v>65</v>
      </c>
    </row>
    <row r="566" spans="1:7" x14ac:dyDescent="0.2">
      <c r="A566" s="2" t="s">
        <v>2507</v>
      </c>
      <c r="B566" s="2" t="s">
        <v>2508</v>
      </c>
      <c r="C566" s="2" t="s">
        <v>61</v>
      </c>
      <c r="D566" s="27">
        <v>45952</v>
      </c>
      <c r="E566" s="2"/>
      <c r="F566" s="2" t="s">
        <v>8</v>
      </c>
      <c r="G566" s="24" t="s">
        <v>65</v>
      </c>
    </row>
    <row r="567" spans="1:7" x14ac:dyDescent="0.2">
      <c r="A567" s="2" t="s">
        <v>2509</v>
      </c>
      <c r="B567" s="2" t="s">
        <v>2510</v>
      </c>
      <c r="C567" s="2" t="s">
        <v>61</v>
      </c>
      <c r="D567" s="27">
        <v>45945</v>
      </c>
      <c r="E567" s="2"/>
      <c r="F567" s="2" t="s">
        <v>8</v>
      </c>
      <c r="G567" s="24" t="s">
        <v>65</v>
      </c>
    </row>
    <row r="568" spans="1:7" x14ac:dyDescent="0.2">
      <c r="A568" s="2" t="s">
        <v>2511</v>
      </c>
      <c r="B568" s="2" t="s">
        <v>2512</v>
      </c>
      <c r="C568" s="2" t="s">
        <v>61</v>
      </c>
      <c r="D568" s="27">
        <v>45945</v>
      </c>
      <c r="E568" s="2"/>
      <c r="F568" s="2" t="s">
        <v>8</v>
      </c>
      <c r="G568" s="24" t="s">
        <v>65</v>
      </c>
    </row>
    <row r="569" spans="1:7" x14ac:dyDescent="0.2">
      <c r="A569" s="2" t="s">
        <v>2513</v>
      </c>
      <c r="B569" s="2" t="s">
        <v>2514</v>
      </c>
      <c r="C569" s="2" t="s">
        <v>61</v>
      </c>
      <c r="D569" s="27">
        <v>45958</v>
      </c>
      <c r="E569" s="2"/>
      <c r="F569" s="2" t="s">
        <v>8</v>
      </c>
      <c r="G569" s="24" t="s">
        <v>65</v>
      </c>
    </row>
    <row r="570" spans="1:7" x14ac:dyDescent="0.2">
      <c r="A570" s="2" t="s">
        <v>2515</v>
      </c>
      <c r="B570" s="2" t="s">
        <v>2516</v>
      </c>
      <c r="C570" s="2" t="s">
        <v>61</v>
      </c>
      <c r="D570" s="27">
        <v>45958</v>
      </c>
      <c r="E570" s="2"/>
      <c r="F570" s="2" t="s">
        <v>8</v>
      </c>
      <c r="G570" s="24" t="s">
        <v>65</v>
      </c>
    </row>
    <row r="571" spans="1:7" x14ac:dyDescent="0.2">
      <c r="A571" s="2" t="s">
        <v>2517</v>
      </c>
      <c r="B571" s="2" t="s">
        <v>2518</v>
      </c>
      <c r="C571" s="2" t="s">
        <v>61</v>
      </c>
      <c r="D571" s="27">
        <v>45939</v>
      </c>
      <c r="E571" s="2"/>
      <c r="F571" s="2" t="s">
        <v>8</v>
      </c>
      <c r="G571" s="24" t="s">
        <v>65</v>
      </c>
    </row>
    <row r="572" spans="1:7" x14ac:dyDescent="0.2">
      <c r="A572" s="2" t="s">
        <v>2519</v>
      </c>
      <c r="B572" s="2" t="s">
        <v>2520</v>
      </c>
      <c r="C572" s="2" t="s">
        <v>61</v>
      </c>
      <c r="D572" s="27">
        <v>45950</v>
      </c>
      <c r="E572" s="2"/>
      <c r="F572" s="2" t="s">
        <v>8</v>
      </c>
      <c r="G572" s="24" t="s">
        <v>65</v>
      </c>
    </row>
    <row r="573" spans="1:7" x14ac:dyDescent="0.2">
      <c r="A573" s="2" t="s">
        <v>2521</v>
      </c>
      <c r="B573" s="2" t="s">
        <v>2522</v>
      </c>
      <c r="C573" s="2" t="s">
        <v>61</v>
      </c>
      <c r="D573" s="27">
        <v>45949</v>
      </c>
      <c r="E573" s="2"/>
      <c r="F573" s="2" t="s">
        <v>8</v>
      </c>
      <c r="G573" s="24" t="s">
        <v>65</v>
      </c>
    </row>
    <row r="574" spans="1:7" x14ac:dyDescent="0.2">
      <c r="A574" s="2" t="s">
        <v>2523</v>
      </c>
      <c r="B574" s="2" t="s">
        <v>2524</v>
      </c>
      <c r="C574" s="2" t="s">
        <v>61</v>
      </c>
      <c r="D574" s="27">
        <v>45945</v>
      </c>
      <c r="E574" s="2"/>
      <c r="F574" s="2" t="s">
        <v>8</v>
      </c>
      <c r="G574" s="24" t="s">
        <v>65</v>
      </c>
    </row>
    <row r="575" spans="1:7" x14ac:dyDescent="0.2">
      <c r="A575" s="2" t="s">
        <v>2525</v>
      </c>
      <c r="B575" s="2" t="s">
        <v>2526</v>
      </c>
      <c r="C575" s="2" t="s">
        <v>61</v>
      </c>
      <c r="D575" s="27">
        <v>45940</v>
      </c>
      <c r="E575" s="2"/>
      <c r="F575" s="2" t="s">
        <v>8</v>
      </c>
      <c r="G575" s="24" t="s">
        <v>65</v>
      </c>
    </row>
    <row r="576" spans="1:7" x14ac:dyDescent="0.2">
      <c r="A576" s="2" t="s">
        <v>2527</v>
      </c>
      <c r="B576" s="2" t="s">
        <v>2528</v>
      </c>
      <c r="C576" s="2" t="s">
        <v>61</v>
      </c>
      <c r="D576" s="27">
        <v>45954</v>
      </c>
      <c r="E576" s="2"/>
      <c r="F576" s="2" t="s">
        <v>8</v>
      </c>
      <c r="G576" s="24" t="s">
        <v>65</v>
      </c>
    </row>
    <row r="577" spans="1:7" x14ac:dyDescent="0.2">
      <c r="A577" s="2" t="s">
        <v>2529</v>
      </c>
      <c r="B577" s="2" t="s">
        <v>2530</v>
      </c>
      <c r="C577" s="2" t="s">
        <v>61</v>
      </c>
      <c r="D577" s="27">
        <v>45951</v>
      </c>
      <c r="E577" s="2"/>
      <c r="F577" s="2" t="s">
        <v>8</v>
      </c>
      <c r="G577" s="24" t="s">
        <v>65</v>
      </c>
    </row>
    <row r="578" spans="1:7" x14ac:dyDescent="0.2">
      <c r="A578" s="2" t="s">
        <v>2531</v>
      </c>
      <c r="B578" s="2" t="s">
        <v>2532</v>
      </c>
      <c r="C578" s="2" t="s">
        <v>61</v>
      </c>
      <c r="D578" s="27">
        <v>45946</v>
      </c>
      <c r="E578" s="2"/>
      <c r="F578" s="2" t="s">
        <v>8</v>
      </c>
      <c r="G578" s="24" t="s">
        <v>65</v>
      </c>
    </row>
    <row r="579" spans="1:7" x14ac:dyDescent="0.2">
      <c r="A579" s="2" t="s">
        <v>2533</v>
      </c>
      <c r="B579" s="2" t="s">
        <v>2534</v>
      </c>
      <c r="C579" s="2" t="s">
        <v>61</v>
      </c>
      <c r="D579" s="27">
        <v>45954</v>
      </c>
      <c r="E579" s="2"/>
      <c r="F579" s="2" t="s">
        <v>8</v>
      </c>
      <c r="G579" s="24" t="s">
        <v>65</v>
      </c>
    </row>
    <row r="580" spans="1:7" x14ac:dyDescent="0.2">
      <c r="A580" s="2" t="s">
        <v>2535</v>
      </c>
      <c r="B580" s="2" t="s">
        <v>2536</v>
      </c>
      <c r="C580" s="2" t="s">
        <v>61</v>
      </c>
      <c r="D580" s="27">
        <v>45959</v>
      </c>
      <c r="E580" s="2"/>
      <c r="F580" s="2" t="s">
        <v>8</v>
      </c>
      <c r="G580" s="24" t="s">
        <v>65</v>
      </c>
    </row>
    <row r="581" spans="1:7" x14ac:dyDescent="0.2">
      <c r="A581" s="2" t="s">
        <v>2537</v>
      </c>
      <c r="B581" s="2" t="s">
        <v>2538</v>
      </c>
      <c r="C581" s="2" t="s">
        <v>61</v>
      </c>
      <c r="D581" s="27">
        <v>45939</v>
      </c>
      <c r="E581" s="2"/>
      <c r="F581" s="2" t="s">
        <v>8</v>
      </c>
      <c r="G581" s="24" t="s">
        <v>65</v>
      </c>
    </row>
    <row r="582" spans="1:7" x14ac:dyDescent="0.2">
      <c r="A582" s="2" t="s">
        <v>2539</v>
      </c>
      <c r="B582" s="2" t="s">
        <v>2540</v>
      </c>
      <c r="C582" s="2" t="s">
        <v>61</v>
      </c>
      <c r="D582" s="27">
        <v>45959</v>
      </c>
      <c r="E582" s="2"/>
      <c r="F582" s="2" t="s">
        <v>8</v>
      </c>
      <c r="G582" s="24" t="s">
        <v>65</v>
      </c>
    </row>
    <row r="583" spans="1:7" x14ac:dyDescent="0.2">
      <c r="A583" s="2" t="s">
        <v>2541</v>
      </c>
      <c r="B583" s="2" t="s">
        <v>2542</v>
      </c>
      <c r="C583" s="2" t="s">
        <v>61</v>
      </c>
      <c r="D583" s="27">
        <v>45958</v>
      </c>
      <c r="E583" s="2"/>
      <c r="F583" s="2" t="s">
        <v>8</v>
      </c>
      <c r="G583" s="24" t="s">
        <v>65</v>
      </c>
    </row>
    <row r="584" spans="1:7" x14ac:dyDescent="0.2">
      <c r="A584" s="2" t="s">
        <v>2543</v>
      </c>
      <c r="B584" s="2" t="s">
        <v>2544</v>
      </c>
      <c r="C584" s="2" t="s">
        <v>61</v>
      </c>
      <c r="D584" s="27">
        <v>45954</v>
      </c>
      <c r="E584" s="2"/>
      <c r="F584" s="2" t="s">
        <v>8</v>
      </c>
      <c r="G584" s="24" t="s">
        <v>65</v>
      </c>
    </row>
    <row r="585" spans="1:7" x14ac:dyDescent="0.2">
      <c r="A585" s="2" t="s">
        <v>2545</v>
      </c>
      <c r="B585" s="2" t="s">
        <v>2546</v>
      </c>
      <c r="C585" s="2" t="s">
        <v>61</v>
      </c>
      <c r="D585" s="27">
        <v>45937</v>
      </c>
      <c r="E585" s="2"/>
      <c r="F585" s="2" t="s">
        <v>8</v>
      </c>
      <c r="G585" s="24" t="s">
        <v>65</v>
      </c>
    </row>
    <row r="586" spans="1:7" x14ac:dyDescent="0.2">
      <c r="A586" s="2" t="s">
        <v>2547</v>
      </c>
      <c r="B586" s="2" t="s">
        <v>2548</v>
      </c>
      <c r="C586" s="2" t="s">
        <v>61</v>
      </c>
      <c r="D586" s="27">
        <v>45945</v>
      </c>
      <c r="E586" s="2"/>
      <c r="F586" s="2" t="s">
        <v>8</v>
      </c>
      <c r="G586" s="24" t="s">
        <v>65</v>
      </c>
    </row>
    <row r="587" spans="1:7" x14ac:dyDescent="0.2">
      <c r="A587" s="2" t="s">
        <v>2549</v>
      </c>
      <c r="B587" s="2" t="s">
        <v>2550</v>
      </c>
      <c r="C587" s="2" t="s">
        <v>61</v>
      </c>
      <c r="D587" s="27">
        <v>45951</v>
      </c>
      <c r="E587" s="2"/>
      <c r="F587" s="2" t="s">
        <v>8</v>
      </c>
      <c r="G587" s="24" t="s">
        <v>65</v>
      </c>
    </row>
    <row r="588" spans="1:7" x14ac:dyDescent="0.2">
      <c r="A588" s="2" t="s">
        <v>2551</v>
      </c>
      <c r="B588" s="2" t="s">
        <v>2552</v>
      </c>
      <c r="C588" s="2" t="s">
        <v>61</v>
      </c>
      <c r="D588" s="27">
        <v>45943</v>
      </c>
      <c r="E588" s="2"/>
      <c r="F588" s="2" t="s">
        <v>8</v>
      </c>
      <c r="G588" s="24" t="s">
        <v>65</v>
      </c>
    </row>
    <row r="589" spans="1:7" x14ac:dyDescent="0.2">
      <c r="A589" s="2" t="s">
        <v>2553</v>
      </c>
      <c r="B589" s="2" t="s">
        <v>2554</v>
      </c>
      <c r="C589" s="2" t="s">
        <v>61</v>
      </c>
      <c r="D589" s="27">
        <v>45937</v>
      </c>
      <c r="E589" s="2"/>
      <c r="F589" s="2" t="s">
        <v>8</v>
      </c>
      <c r="G589" s="24" t="s">
        <v>65</v>
      </c>
    </row>
    <row r="590" spans="1:7" x14ac:dyDescent="0.2">
      <c r="A590" s="2" t="s">
        <v>2555</v>
      </c>
      <c r="B590" s="2" t="s">
        <v>2556</v>
      </c>
      <c r="C590" s="2" t="s">
        <v>61</v>
      </c>
      <c r="D590" s="27">
        <v>45947</v>
      </c>
      <c r="E590" s="2"/>
      <c r="F590" s="2" t="s">
        <v>8</v>
      </c>
      <c r="G590" s="24" t="s">
        <v>65</v>
      </c>
    </row>
    <row r="591" spans="1:7" x14ac:dyDescent="0.2">
      <c r="A591" s="2" t="s">
        <v>2557</v>
      </c>
      <c r="B591" s="2" t="s">
        <v>2558</v>
      </c>
      <c r="C591" s="2" t="s">
        <v>61</v>
      </c>
      <c r="D591" s="27">
        <v>45958</v>
      </c>
      <c r="E591" s="2"/>
      <c r="F591" s="2" t="s">
        <v>8</v>
      </c>
      <c r="G591" s="24" t="s">
        <v>1365</v>
      </c>
    </row>
    <row r="592" spans="1:7" x14ac:dyDescent="0.2">
      <c r="A592" s="2" t="s">
        <v>2559</v>
      </c>
      <c r="B592" s="2" t="s">
        <v>2560</v>
      </c>
      <c r="C592" s="2" t="s">
        <v>61</v>
      </c>
      <c r="D592" s="27">
        <v>45960</v>
      </c>
      <c r="E592" s="2"/>
      <c r="F592" s="2" t="s">
        <v>8</v>
      </c>
      <c r="G592" s="24" t="s">
        <v>65</v>
      </c>
    </row>
    <row r="593" spans="1:7" x14ac:dyDescent="0.2">
      <c r="A593" s="2" t="s">
        <v>2561</v>
      </c>
      <c r="B593" s="2" t="s">
        <v>2562</v>
      </c>
      <c r="C593" s="2" t="s">
        <v>61</v>
      </c>
      <c r="D593" s="27">
        <v>45959</v>
      </c>
      <c r="E593" s="2"/>
      <c r="F593" s="2" t="s">
        <v>8</v>
      </c>
      <c r="G593" s="24" t="s">
        <v>65</v>
      </c>
    </row>
    <row r="594" spans="1:7" x14ac:dyDescent="0.2">
      <c r="A594" s="2" t="s">
        <v>2563</v>
      </c>
      <c r="B594" s="2" t="s">
        <v>2564</v>
      </c>
      <c r="C594" s="2" t="s">
        <v>61</v>
      </c>
      <c r="D594" s="27">
        <v>45936</v>
      </c>
      <c r="E594" s="2"/>
      <c r="F594" s="2" t="s">
        <v>8</v>
      </c>
      <c r="G594" s="24" t="s">
        <v>65</v>
      </c>
    </row>
    <row r="595" spans="1:7" x14ac:dyDescent="0.2">
      <c r="A595" s="2" t="s">
        <v>2565</v>
      </c>
      <c r="B595" s="2" t="s">
        <v>2566</v>
      </c>
      <c r="C595" s="2" t="s">
        <v>61</v>
      </c>
      <c r="D595" s="27">
        <v>45961</v>
      </c>
      <c r="E595" s="2"/>
      <c r="F595" s="2" t="s">
        <v>8</v>
      </c>
      <c r="G595" s="24" t="s">
        <v>65</v>
      </c>
    </row>
    <row r="596" spans="1:7" x14ac:dyDescent="0.2">
      <c r="A596" s="2" t="s">
        <v>2567</v>
      </c>
      <c r="B596" s="2" t="s">
        <v>2568</v>
      </c>
      <c r="C596" s="2" t="s">
        <v>61</v>
      </c>
      <c r="D596" s="27">
        <v>45949</v>
      </c>
      <c r="E596" s="2"/>
      <c r="F596" s="2" t="s">
        <v>8</v>
      </c>
      <c r="G596" s="24" t="s">
        <v>65</v>
      </c>
    </row>
    <row r="597" spans="1:7" x14ac:dyDescent="0.2">
      <c r="A597" s="2" t="s">
        <v>2569</v>
      </c>
      <c r="B597" s="2" t="s">
        <v>2570</v>
      </c>
      <c r="C597" s="2" t="s">
        <v>61</v>
      </c>
      <c r="D597" s="27">
        <v>45938</v>
      </c>
      <c r="E597" s="2"/>
      <c r="F597" s="2" t="s">
        <v>8</v>
      </c>
      <c r="G597" s="24" t="s">
        <v>65</v>
      </c>
    </row>
    <row r="598" spans="1:7" x14ac:dyDescent="0.2">
      <c r="A598" s="2" t="s">
        <v>2571</v>
      </c>
      <c r="B598" s="2" t="s">
        <v>2572</v>
      </c>
      <c r="C598" s="2" t="s">
        <v>61</v>
      </c>
      <c r="D598" s="27">
        <v>45959</v>
      </c>
      <c r="E598" s="2"/>
      <c r="F598" s="2" t="s">
        <v>8</v>
      </c>
      <c r="G598" s="24" t="s">
        <v>65</v>
      </c>
    </row>
    <row r="599" spans="1:7" x14ac:dyDescent="0.2">
      <c r="A599" s="2" t="s">
        <v>2573</v>
      </c>
      <c r="B599" s="2" t="s">
        <v>2574</v>
      </c>
      <c r="C599" s="2" t="s">
        <v>61</v>
      </c>
      <c r="D599" s="27">
        <v>45945</v>
      </c>
      <c r="E599" s="2"/>
      <c r="F599" s="2" t="s">
        <v>8</v>
      </c>
      <c r="G599" s="24" t="s">
        <v>65</v>
      </c>
    </row>
    <row r="600" spans="1:7" x14ac:dyDescent="0.2">
      <c r="A600" s="2" t="s">
        <v>2575</v>
      </c>
      <c r="B600" s="2" t="s">
        <v>2576</v>
      </c>
      <c r="C600" s="2" t="s">
        <v>61</v>
      </c>
      <c r="D600" s="27">
        <v>45950</v>
      </c>
      <c r="E600" s="2"/>
      <c r="F600" s="2" t="s">
        <v>8</v>
      </c>
      <c r="G600" s="24" t="s">
        <v>65</v>
      </c>
    </row>
    <row r="601" spans="1:7" x14ac:dyDescent="0.2">
      <c r="A601" s="2" t="s">
        <v>2577</v>
      </c>
      <c r="B601" s="2" t="s">
        <v>2578</v>
      </c>
      <c r="C601" s="2" t="s">
        <v>61</v>
      </c>
      <c r="D601" s="27">
        <v>45954</v>
      </c>
      <c r="E601" s="2"/>
      <c r="F601" s="2" t="s">
        <v>8</v>
      </c>
      <c r="G601" s="24" t="s">
        <v>65</v>
      </c>
    </row>
    <row r="602" spans="1:7" x14ac:dyDescent="0.2">
      <c r="A602" s="2" t="s">
        <v>2579</v>
      </c>
      <c r="B602" s="2" t="s">
        <v>2580</v>
      </c>
      <c r="C602" s="2" t="s">
        <v>61</v>
      </c>
      <c r="D602" s="27">
        <v>45942</v>
      </c>
      <c r="E602" s="2"/>
      <c r="F602" s="2" t="s">
        <v>8</v>
      </c>
      <c r="G602" s="24" t="s">
        <v>65</v>
      </c>
    </row>
    <row r="603" spans="1:7" x14ac:dyDescent="0.2">
      <c r="A603" s="2" t="s">
        <v>2581</v>
      </c>
      <c r="B603" s="2" t="s">
        <v>2582</v>
      </c>
      <c r="C603" s="2" t="s">
        <v>61</v>
      </c>
      <c r="D603" s="27">
        <v>45952</v>
      </c>
      <c r="E603" s="2"/>
      <c r="F603" s="2" t="s">
        <v>8</v>
      </c>
      <c r="G603" s="24" t="s">
        <v>65</v>
      </c>
    </row>
    <row r="604" spans="1:7" x14ac:dyDescent="0.2">
      <c r="A604" s="2" t="s">
        <v>2583</v>
      </c>
      <c r="B604" s="2" t="s">
        <v>2584</v>
      </c>
      <c r="C604" s="2" t="s">
        <v>61</v>
      </c>
      <c r="D604" s="27">
        <v>45939</v>
      </c>
      <c r="E604" s="2"/>
      <c r="F604" s="2" t="s">
        <v>8</v>
      </c>
      <c r="G604" s="24" t="s">
        <v>65</v>
      </c>
    </row>
    <row r="605" spans="1:7" x14ac:dyDescent="0.2">
      <c r="A605" s="2" t="s">
        <v>2585</v>
      </c>
      <c r="B605" s="2" t="s">
        <v>2586</v>
      </c>
      <c r="C605" s="2" t="s">
        <v>61</v>
      </c>
      <c r="D605" s="27">
        <v>45951</v>
      </c>
      <c r="E605" s="2"/>
      <c r="F605" s="2" t="s">
        <v>8</v>
      </c>
      <c r="G605" s="24" t="s">
        <v>65</v>
      </c>
    </row>
    <row r="606" spans="1:7" x14ac:dyDescent="0.2">
      <c r="A606" s="2" t="s">
        <v>2587</v>
      </c>
      <c r="B606" s="2" t="s">
        <v>2588</v>
      </c>
      <c r="C606" s="2" t="s">
        <v>61</v>
      </c>
      <c r="D606" s="27">
        <v>45951</v>
      </c>
      <c r="E606" s="2"/>
      <c r="F606" s="2" t="s">
        <v>8</v>
      </c>
      <c r="G606" s="24" t="s">
        <v>65</v>
      </c>
    </row>
    <row r="607" spans="1:7" x14ac:dyDescent="0.2">
      <c r="A607" s="2" t="s">
        <v>2589</v>
      </c>
      <c r="B607" s="2" t="s">
        <v>2590</v>
      </c>
      <c r="C607" s="2" t="s">
        <v>61</v>
      </c>
      <c r="D607" s="27">
        <v>45939</v>
      </c>
      <c r="E607" s="2"/>
      <c r="F607" s="2" t="s">
        <v>8</v>
      </c>
      <c r="G607" s="24" t="s">
        <v>65</v>
      </c>
    </row>
    <row r="608" spans="1:7" x14ac:dyDescent="0.2">
      <c r="A608" s="2" t="s">
        <v>2591</v>
      </c>
      <c r="B608" s="2" t="s">
        <v>2592</v>
      </c>
      <c r="C608" s="2" t="s">
        <v>61</v>
      </c>
      <c r="D608" s="27">
        <v>45954</v>
      </c>
      <c r="E608" s="2"/>
      <c r="F608" s="2" t="s">
        <v>8</v>
      </c>
      <c r="G608" s="24" t="s">
        <v>65</v>
      </c>
    </row>
    <row r="609" spans="1:7" x14ac:dyDescent="0.2">
      <c r="A609" s="2" t="s">
        <v>2593</v>
      </c>
      <c r="B609" s="2" t="s">
        <v>2594</v>
      </c>
      <c r="C609" s="2" t="s">
        <v>61</v>
      </c>
      <c r="D609" s="27">
        <v>45960</v>
      </c>
      <c r="E609" s="2"/>
      <c r="F609" s="2" t="s">
        <v>8</v>
      </c>
      <c r="G609" s="24" t="s">
        <v>79</v>
      </c>
    </row>
    <row r="610" spans="1:7" x14ac:dyDescent="0.2">
      <c r="A610" s="2" t="s">
        <v>2595</v>
      </c>
      <c r="B610" s="2" t="s">
        <v>2596</v>
      </c>
      <c r="C610" s="2" t="s">
        <v>61</v>
      </c>
      <c r="D610" s="27">
        <v>45932</v>
      </c>
      <c r="E610" s="2"/>
      <c r="F610" s="2" t="s">
        <v>8</v>
      </c>
      <c r="G610" s="24" t="s">
        <v>79</v>
      </c>
    </row>
    <row r="611" spans="1:7" x14ac:dyDescent="0.2">
      <c r="A611" s="2" t="s">
        <v>2597</v>
      </c>
      <c r="B611" s="2" t="s">
        <v>2598</v>
      </c>
      <c r="C611" s="2" t="s">
        <v>61</v>
      </c>
      <c r="D611" s="27">
        <v>45957</v>
      </c>
      <c r="E611" s="2"/>
      <c r="F611" s="2" t="s">
        <v>8</v>
      </c>
      <c r="G611" s="24" t="s">
        <v>79</v>
      </c>
    </row>
    <row r="612" spans="1:7" x14ac:dyDescent="0.2">
      <c r="A612" s="2" t="s">
        <v>2599</v>
      </c>
      <c r="B612" s="2" t="s">
        <v>2600</v>
      </c>
      <c r="C612" s="2" t="s">
        <v>61</v>
      </c>
      <c r="D612" s="27">
        <v>45957</v>
      </c>
      <c r="E612" s="2"/>
      <c r="F612" s="2" t="s">
        <v>8</v>
      </c>
      <c r="G612" s="24" t="s">
        <v>1369</v>
      </c>
    </row>
    <row r="613" spans="1:7" x14ac:dyDescent="0.2">
      <c r="A613" s="2" t="s">
        <v>2601</v>
      </c>
      <c r="B613" s="2" t="s">
        <v>2602</v>
      </c>
      <c r="C613" s="2" t="s">
        <v>61</v>
      </c>
      <c r="D613" s="27">
        <v>45961</v>
      </c>
      <c r="E613" s="2"/>
      <c r="F613" s="2" t="s">
        <v>8</v>
      </c>
      <c r="G613" s="24" t="s">
        <v>1369</v>
      </c>
    </row>
    <row r="614" spans="1:7" x14ac:dyDescent="0.2">
      <c r="A614" s="2" t="s">
        <v>2603</v>
      </c>
      <c r="B614" s="2" t="s">
        <v>2604</v>
      </c>
      <c r="C614" s="2" t="s">
        <v>61</v>
      </c>
      <c r="D614" s="27">
        <v>45940</v>
      </c>
      <c r="E614" s="2"/>
      <c r="F614" s="2" t="s">
        <v>8</v>
      </c>
      <c r="G614" s="24" t="s">
        <v>79</v>
      </c>
    </row>
    <row r="615" spans="1:7" x14ac:dyDescent="0.2">
      <c r="A615" s="2" t="s">
        <v>2605</v>
      </c>
      <c r="B615" s="2" t="s">
        <v>2606</v>
      </c>
      <c r="C615" s="2" t="s">
        <v>61</v>
      </c>
      <c r="D615" s="27">
        <v>45958</v>
      </c>
      <c r="E615" s="2"/>
      <c r="F615" s="2" t="s">
        <v>8</v>
      </c>
      <c r="G615" s="24" t="s">
        <v>79</v>
      </c>
    </row>
    <row r="616" spans="1:7" x14ac:dyDescent="0.2">
      <c r="A616" s="2" t="s">
        <v>2607</v>
      </c>
      <c r="B616" s="2" t="s">
        <v>2608</v>
      </c>
      <c r="C616" s="2" t="s">
        <v>61</v>
      </c>
      <c r="D616" s="27">
        <v>45954</v>
      </c>
      <c r="E616" s="2"/>
      <c r="F616" s="2" t="s">
        <v>8</v>
      </c>
      <c r="G616" s="24" t="s">
        <v>79</v>
      </c>
    </row>
    <row r="617" spans="1:7" x14ac:dyDescent="0.2">
      <c r="A617" s="2" t="s">
        <v>2609</v>
      </c>
      <c r="B617" s="2" t="s">
        <v>2610</v>
      </c>
      <c r="C617" s="2" t="s">
        <v>61</v>
      </c>
      <c r="D617" s="27">
        <v>45933</v>
      </c>
      <c r="E617" s="2"/>
      <c r="F617" s="2" t="s">
        <v>8</v>
      </c>
      <c r="G617" s="24" t="s">
        <v>1369</v>
      </c>
    </row>
    <row r="618" spans="1:7" x14ac:dyDescent="0.2">
      <c r="A618" s="2" t="s">
        <v>2611</v>
      </c>
      <c r="B618" s="2" t="s">
        <v>2612</v>
      </c>
      <c r="C618" s="2" t="s">
        <v>61</v>
      </c>
      <c r="D618" s="27">
        <v>45944</v>
      </c>
      <c r="E618" s="2"/>
      <c r="F618" s="2" t="s">
        <v>8</v>
      </c>
      <c r="G618" s="24" t="s">
        <v>1368</v>
      </c>
    </row>
    <row r="619" spans="1:7" x14ac:dyDescent="0.2">
      <c r="A619" s="2" t="s">
        <v>2613</v>
      </c>
      <c r="B619" s="2" t="s">
        <v>2614</v>
      </c>
      <c r="C619" s="2" t="s">
        <v>61</v>
      </c>
      <c r="D619" s="27">
        <v>45954</v>
      </c>
      <c r="E619" s="2"/>
      <c r="F619" s="2" t="s">
        <v>8</v>
      </c>
      <c r="G619" s="24" t="s">
        <v>593</v>
      </c>
    </row>
    <row r="620" spans="1:7" x14ac:dyDescent="0.2">
      <c r="A620" s="2" t="s">
        <v>2615</v>
      </c>
      <c r="B620" s="2" t="s">
        <v>2616</v>
      </c>
      <c r="C620" s="2" t="s">
        <v>61</v>
      </c>
      <c r="D620" s="27">
        <v>45954</v>
      </c>
      <c r="E620" s="2"/>
      <c r="F620" s="2" t="s">
        <v>8</v>
      </c>
      <c r="G620" s="24" t="s">
        <v>79</v>
      </c>
    </row>
    <row r="621" spans="1:7" x14ac:dyDescent="0.2">
      <c r="A621" s="2" t="s">
        <v>2617</v>
      </c>
      <c r="B621" s="2" t="s">
        <v>2618</v>
      </c>
      <c r="C621" s="2" t="s">
        <v>61</v>
      </c>
      <c r="D621" s="27">
        <v>45932</v>
      </c>
      <c r="E621" s="2"/>
      <c r="F621" s="2" t="s">
        <v>8</v>
      </c>
      <c r="G621" s="24" t="s">
        <v>79</v>
      </c>
    </row>
    <row r="622" spans="1:7" x14ac:dyDescent="0.2">
      <c r="A622" s="2" t="s">
        <v>2619</v>
      </c>
      <c r="B622" s="2" t="s">
        <v>2620</v>
      </c>
      <c r="C622" s="2" t="s">
        <v>61</v>
      </c>
      <c r="D622" s="27">
        <v>45951</v>
      </c>
      <c r="E622" s="2"/>
      <c r="F622" s="2" t="s">
        <v>8</v>
      </c>
      <c r="G622" s="24" t="s">
        <v>79</v>
      </c>
    </row>
    <row r="623" spans="1:7" x14ac:dyDescent="0.2">
      <c r="A623" s="2" t="s">
        <v>2621</v>
      </c>
      <c r="B623" s="2" t="s">
        <v>2622</v>
      </c>
      <c r="C623" s="2" t="s">
        <v>61</v>
      </c>
      <c r="D623" s="27">
        <v>45955</v>
      </c>
      <c r="E623" s="2"/>
      <c r="F623" s="2" t="s">
        <v>8</v>
      </c>
      <c r="G623" s="24" t="s">
        <v>79</v>
      </c>
    </row>
    <row r="624" spans="1:7" x14ac:dyDescent="0.2">
      <c r="A624" s="2" t="s">
        <v>2623</v>
      </c>
      <c r="B624" s="2" t="s">
        <v>2624</v>
      </c>
      <c r="C624" s="2" t="s">
        <v>61</v>
      </c>
      <c r="D624" s="27">
        <v>45957</v>
      </c>
      <c r="E624" s="2"/>
      <c r="F624" s="2" t="s">
        <v>8</v>
      </c>
      <c r="G624" s="24" t="s">
        <v>1369</v>
      </c>
    </row>
    <row r="625" spans="1:7" x14ac:dyDescent="0.2">
      <c r="A625" s="2" t="s">
        <v>2625</v>
      </c>
      <c r="B625" s="2" t="s">
        <v>2626</v>
      </c>
      <c r="C625" s="2" t="s">
        <v>61</v>
      </c>
      <c r="D625" s="27">
        <v>45949</v>
      </c>
      <c r="E625" s="2"/>
      <c r="F625" s="2" t="s">
        <v>8</v>
      </c>
      <c r="G625" s="24" t="s">
        <v>79</v>
      </c>
    </row>
    <row r="626" spans="1:7" x14ac:dyDescent="0.2">
      <c r="A626" s="2" t="s">
        <v>2627</v>
      </c>
      <c r="B626" s="2" t="s">
        <v>2628</v>
      </c>
      <c r="C626" s="2" t="s">
        <v>61</v>
      </c>
      <c r="D626" s="27">
        <v>45957</v>
      </c>
      <c r="E626" s="2"/>
      <c r="F626" s="2" t="s">
        <v>8</v>
      </c>
      <c r="G626" s="24" t="s">
        <v>79</v>
      </c>
    </row>
    <row r="627" spans="1:7" x14ac:dyDescent="0.2">
      <c r="A627" s="2" t="s">
        <v>2629</v>
      </c>
      <c r="B627" s="2" t="s">
        <v>2630</v>
      </c>
      <c r="C627" s="2" t="s">
        <v>61</v>
      </c>
      <c r="D627" s="27">
        <v>45961</v>
      </c>
      <c r="E627" s="2"/>
      <c r="F627" s="2" t="s">
        <v>8</v>
      </c>
      <c r="G627" s="24" t="s">
        <v>3901</v>
      </c>
    </row>
    <row r="628" spans="1:7" x14ac:dyDescent="0.2">
      <c r="A628" s="2" t="s">
        <v>2631</v>
      </c>
      <c r="B628" s="2" t="s">
        <v>2632</v>
      </c>
      <c r="C628" s="2" t="s">
        <v>61</v>
      </c>
      <c r="D628" s="27">
        <v>45958</v>
      </c>
      <c r="E628" s="2"/>
      <c r="F628" s="2" t="s">
        <v>8</v>
      </c>
      <c r="G628" s="24" t="s">
        <v>79</v>
      </c>
    </row>
    <row r="629" spans="1:7" x14ac:dyDescent="0.2">
      <c r="A629" s="2" t="s">
        <v>2633</v>
      </c>
      <c r="B629" s="2" t="s">
        <v>2634</v>
      </c>
      <c r="C629" s="2" t="s">
        <v>61</v>
      </c>
      <c r="D629" s="27">
        <v>45940</v>
      </c>
      <c r="E629" s="2"/>
      <c r="F629" s="2" t="s">
        <v>8</v>
      </c>
      <c r="G629" s="24" t="s">
        <v>79</v>
      </c>
    </row>
    <row r="630" spans="1:7" x14ac:dyDescent="0.2">
      <c r="A630" s="2" t="s">
        <v>2635</v>
      </c>
      <c r="B630" s="2" t="s">
        <v>2636</v>
      </c>
      <c r="C630" s="2" t="s">
        <v>61</v>
      </c>
      <c r="D630" s="27">
        <v>45953</v>
      </c>
      <c r="E630" s="2"/>
      <c r="F630" s="2" t="s">
        <v>8</v>
      </c>
      <c r="G630" s="24" t="s">
        <v>79</v>
      </c>
    </row>
    <row r="631" spans="1:7" x14ac:dyDescent="0.2">
      <c r="A631" s="2" t="s">
        <v>2637</v>
      </c>
      <c r="B631" s="2" t="s">
        <v>2638</v>
      </c>
      <c r="C631" s="2" t="s">
        <v>61</v>
      </c>
      <c r="D631" s="27">
        <v>45936</v>
      </c>
      <c r="E631" s="2"/>
      <c r="F631" s="2" t="s">
        <v>8</v>
      </c>
      <c r="G631" s="24" t="s">
        <v>79</v>
      </c>
    </row>
    <row r="632" spans="1:7" x14ac:dyDescent="0.2">
      <c r="A632" s="2" t="s">
        <v>2639</v>
      </c>
      <c r="B632" s="2" t="s">
        <v>2640</v>
      </c>
      <c r="C632" s="2" t="s">
        <v>61</v>
      </c>
      <c r="D632" s="27">
        <v>45960</v>
      </c>
      <c r="E632" s="2"/>
      <c r="F632" s="2" t="s">
        <v>8</v>
      </c>
      <c r="G632" s="24" t="s">
        <v>79</v>
      </c>
    </row>
    <row r="633" spans="1:7" x14ac:dyDescent="0.2">
      <c r="A633" s="2" t="s">
        <v>2641</v>
      </c>
      <c r="B633" s="2" t="s">
        <v>2642</v>
      </c>
      <c r="C633" s="2" t="s">
        <v>61</v>
      </c>
      <c r="D633" s="27">
        <v>45960</v>
      </c>
      <c r="E633" s="2"/>
      <c r="F633" s="2" t="s">
        <v>8</v>
      </c>
      <c r="G633" s="24" t="s">
        <v>79</v>
      </c>
    </row>
    <row r="634" spans="1:7" x14ac:dyDescent="0.2">
      <c r="A634" s="2" t="s">
        <v>2643</v>
      </c>
      <c r="B634" s="2" t="s">
        <v>2644</v>
      </c>
      <c r="C634" s="2" t="s">
        <v>61</v>
      </c>
      <c r="D634" s="27">
        <v>45946</v>
      </c>
      <c r="E634" s="2"/>
      <c r="F634" s="2" t="s">
        <v>8</v>
      </c>
      <c r="G634" s="24" t="s">
        <v>79</v>
      </c>
    </row>
    <row r="635" spans="1:7" x14ac:dyDescent="0.2">
      <c r="A635" s="2" t="s">
        <v>2645</v>
      </c>
      <c r="B635" s="2" t="s">
        <v>2646</v>
      </c>
      <c r="C635" s="2" t="s">
        <v>61</v>
      </c>
      <c r="D635" s="27">
        <v>45947</v>
      </c>
      <c r="E635" s="2"/>
      <c r="F635" s="2" t="s">
        <v>8</v>
      </c>
      <c r="G635" s="24" t="s">
        <v>79</v>
      </c>
    </row>
    <row r="636" spans="1:7" x14ac:dyDescent="0.2">
      <c r="A636" s="2" t="s">
        <v>2647</v>
      </c>
      <c r="B636" s="2" t="s">
        <v>2648</v>
      </c>
      <c r="C636" s="2" t="s">
        <v>61</v>
      </c>
      <c r="D636" s="27">
        <v>45947</v>
      </c>
      <c r="E636" s="2"/>
      <c r="F636" s="2" t="s">
        <v>8</v>
      </c>
      <c r="G636" s="24" t="s">
        <v>79</v>
      </c>
    </row>
    <row r="637" spans="1:7" x14ac:dyDescent="0.2">
      <c r="A637" s="2" t="s">
        <v>2649</v>
      </c>
      <c r="B637" s="2" t="s">
        <v>2650</v>
      </c>
      <c r="C637" s="2" t="s">
        <v>61</v>
      </c>
      <c r="D637" s="27">
        <v>45958</v>
      </c>
      <c r="E637" s="2"/>
      <c r="F637" s="2" t="s">
        <v>8</v>
      </c>
      <c r="G637" s="24" t="s">
        <v>79</v>
      </c>
    </row>
    <row r="638" spans="1:7" x14ac:dyDescent="0.2">
      <c r="A638" s="2" t="s">
        <v>2651</v>
      </c>
      <c r="B638" s="2" t="s">
        <v>2652</v>
      </c>
      <c r="C638" s="2" t="s">
        <v>61</v>
      </c>
      <c r="D638" s="27">
        <v>45947</v>
      </c>
      <c r="E638" s="2"/>
      <c r="F638" s="2" t="s">
        <v>8</v>
      </c>
      <c r="G638" s="24" t="s">
        <v>79</v>
      </c>
    </row>
    <row r="639" spans="1:7" x14ac:dyDescent="0.2">
      <c r="A639" s="2" t="s">
        <v>2653</v>
      </c>
      <c r="B639" s="2" t="s">
        <v>2654</v>
      </c>
      <c r="C639" s="2" t="s">
        <v>61</v>
      </c>
      <c r="D639" s="27">
        <v>45946</v>
      </c>
      <c r="E639" s="2"/>
      <c r="F639" s="2" t="s">
        <v>8</v>
      </c>
      <c r="G639" s="24" t="s">
        <v>79</v>
      </c>
    </row>
    <row r="640" spans="1:7" x14ac:dyDescent="0.2">
      <c r="A640" s="2" t="s">
        <v>2655</v>
      </c>
      <c r="B640" s="2" t="s">
        <v>2656</v>
      </c>
      <c r="C640" s="2" t="s">
        <v>61</v>
      </c>
      <c r="D640" s="27">
        <v>45943</v>
      </c>
      <c r="E640" s="2"/>
      <c r="F640" s="2" t="s">
        <v>8</v>
      </c>
      <c r="G640" s="24" t="s">
        <v>79</v>
      </c>
    </row>
    <row r="641" spans="1:7" x14ac:dyDescent="0.2">
      <c r="A641" s="2" t="s">
        <v>2657</v>
      </c>
      <c r="B641" s="2" t="s">
        <v>2658</v>
      </c>
      <c r="C641" s="2" t="s">
        <v>61</v>
      </c>
      <c r="D641" s="27">
        <v>45953</v>
      </c>
      <c r="E641" s="2"/>
      <c r="F641" s="2" t="s">
        <v>8</v>
      </c>
      <c r="G641" s="24" t="s">
        <v>79</v>
      </c>
    </row>
    <row r="642" spans="1:7" x14ac:dyDescent="0.2">
      <c r="A642" s="2" t="s">
        <v>2659</v>
      </c>
      <c r="B642" s="2" t="s">
        <v>2660</v>
      </c>
      <c r="C642" s="2" t="s">
        <v>61</v>
      </c>
      <c r="D642" s="27">
        <v>45935</v>
      </c>
      <c r="E642" s="2"/>
      <c r="F642" s="2" t="s">
        <v>8</v>
      </c>
      <c r="G642" s="24" t="s">
        <v>79</v>
      </c>
    </row>
    <row r="643" spans="1:7" x14ac:dyDescent="0.2">
      <c r="A643" s="2" t="s">
        <v>2661</v>
      </c>
      <c r="B643" s="2" t="s">
        <v>2662</v>
      </c>
      <c r="C643" s="2" t="s">
        <v>61</v>
      </c>
      <c r="D643" s="27">
        <v>45939</v>
      </c>
      <c r="E643" s="2"/>
      <c r="F643" s="2" t="s">
        <v>8</v>
      </c>
      <c r="G643" s="24" t="s">
        <v>59</v>
      </c>
    </row>
    <row r="644" spans="1:7" x14ac:dyDescent="0.2">
      <c r="A644" s="2" t="s">
        <v>2663</v>
      </c>
      <c r="B644" s="2" t="s">
        <v>2664</v>
      </c>
      <c r="C644" s="2" t="s">
        <v>61</v>
      </c>
      <c r="D644" s="27">
        <v>45954</v>
      </c>
      <c r="E644" s="2"/>
      <c r="F644" s="2" t="s">
        <v>8</v>
      </c>
      <c r="G644" s="24" t="s">
        <v>79</v>
      </c>
    </row>
    <row r="645" spans="1:7" x14ac:dyDescent="0.2">
      <c r="A645" s="2" t="s">
        <v>2665</v>
      </c>
      <c r="B645" s="2" t="s">
        <v>2666</v>
      </c>
      <c r="C645" s="2" t="s">
        <v>61</v>
      </c>
      <c r="D645" s="27">
        <v>45951</v>
      </c>
      <c r="E645" s="2"/>
      <c r="F645" s="2" t="s">
        <v>8</v>
      </c>
      <c r="G645" s="24" t="s">
        <v>1368</v>
      </c>
    </row>
    <row r="646" spans="1:7" x14ac:dyDescent="0.2">
      <c r="A646" s="2" t="s">
        <v>2667</v>
      </c>
      <c r="B646" s="2" t="s">
        <v>2668</v>
      </c>
      <c r="C646" s="2" t="s">
        <v>61</v>
      </c>
      <c r="D646" s="27">
        <v>45937</v>
      </c>
      <c r="E646" s="2"/>
      <c r="F646" s="2" t="s">
        <v>8</v>
      </c>
      <c r="G646" s="24" t="s">
        <v>79</v>
      </c>
    </row>
    <row r="647" spans="1:7" x14ac:dyDescent="0.2">
      <c r="A647" s="2" t="s">
        <v>2669</v>
      </c>
      <c r="B647" s="2" t="s">
        <v>2670</v>
      </c>
      <c r="C647" s="2" t="s">
        <v>61</v>
      </c>
      <c r="D647" s="27">
        <v>45960</v>
      </c>
      <c r="E647" s="2"/>
      <c r="F647" s="2" t="s">
        <v>8</v>
      </c>
      <c r="G647" s="24" t="s">
        <v>591</v>
      </c>
    </row>
    <row r="648" spans="1:7" x14ac:dyDescent="0.2">
      <c r="A648" s="2" t="s">
        <v>2671</v>
      </c>
      <c r="B648" s="2" t="s">
        <v>2672</v>
      </c>
      <c r="C648" s="2" t="s">
        <v>61</v>
      </c>
      <c r="D648" s="27">
        <v>45961</v>
      </c>
      <c r="E648" s="2"/>
      <c r="F648" s="2" t="s">
        <v>8</v>
      </c>
      <c r="G648" s="24" t="s">
        <v>1369</v>
      </c>
    </row>
    <row r="649" spans="1:7" x14ac:dyDescent="0.2">
      <c r="A649" s="2" t="s">
        <v>2673</v>
      </c>
      <c r="B649" s="2" t="s">
        <v>2674</v>
      </c>
      <c r="C649" s="2" t="s">
        <v>61</v>
      </c>
      <c r="D649" s="27">
        <v>45936</v>
      </c>
      <c r="E649" s="2"/>
      <c r="F649" s="2" t="s">
        <v>8</v>
      </c>
      <c r="G649" s="24" t="s">
        <v>79</v>
      </c>
    </row>
    <row r="650" spans="1:7" x14ac:dyDescent="0.2">
      <c r="A650" s="2" t="s">
        <v>2675</v>
      </c>
      <c r="B650" s="2" t="s">
        <v>2676</v>
      </c>
      <c r="C650" s="2" t="s">
        <v>61</v>
      </c>
      <c r="D650" s="27">
        <v>45952</v>
      </c>
      <c r="E650" s="2"/>
      <c r="F650" s="2" t="s">
        <v>8</v>
      </c>
      <c r="G650" s="24" t="s">
        <v>593</v>
      </c>
    </row>
    <row r="651" spans="1:7" x14ac:dyDescent="0.2">
      <c r="A651" s="2" t="s">
        <v>2677</v>
      </c>
      <c r="B651" s="2" t="s">
        <v>2678</v>
      </c>
      <c r="C651" s="2" t="s">
        <v>61</v>
      </c>
      <c r="D651" s="27">
        <v>45961</v>
      </c>
      <c r="E651" s="2"/>
      <c r="F651" s="2" t="s">
        <v>8</v>
      </c>
      <c r="G651" s="24" t="s">
        <v>79</v>
      </c>
    </row>
    <row r="652" spans="1:7" x14ac:dyDescent="0.2">
      <c r="A652" s="2" t="s">
        <v>2679</v>
      </c>
      <c r="B652" s="2" t="s">
        <v>2680</v>
      </c>
      <c r="C652" s="2" t="s">
        <v>61</v>
      </c>
      <c r="D652" s="27">
        <v>45961</v>
      </c>
      <c r="E652" s="2"/>
      <c r="F652" s="2" t="s">
        <v>8</v>
      </c>
      <c r="G652" s="24" t="s">
        <v>79</v>
      </c>
    </row>
    <row r="653" spans="1:7" x14ac:dyDescent="0.2">
      <c r="A653" s="2" t="s">
        <v>2681</v>
      </c>
      <c r="B653" s="2" t="s">
        <v>2682</v>
      </c>
      <c r="C653" s="2" t="s">
        <v>61</v>
      </c>
      <c r="D653" s="27">
        <v>45958</v>
      </c>
      <c r="E653" s="2"/>
      <c r="F653" s="2" t="s">
        <v>8</v>
      </c>
      <c r="G653" s="24" t="s">
        <v>79</v>
      </c>
    </row>
    <row r="654" spans="1:7" x14ac:dyDescent="0.2">
      <c r="A654" s="2" t="s">
        <v>2683</v>
      </c>
      <c r="B654" s="2" t="s">
        <v>2684</v>
      </c>
      <c r="C654" s="2" t="s">
        <v>61</v>
      </c>
      <c r="D654" s="27">
        <v>45961</v>
      </c>
      <c r="E654" s="2"/>
      <c r="F654" s="2" t="s">
        <v>8</v>
      </c>
      <c r="G654" s="24" t="s">
        <v>79</v>
      </c>
    </row>
    <row r="655" spans="1:7" x14ac:dyDescent="0.2">
      <c r="A655" s="2" t="s">
        <v>2685</v>
      </c>
      <c r="B655" s="2" t="s">
        <v>2686</v>
      </c>
      <c r="C655" s="2" t="s">
        <v>61</v>
      </c>
      <c r="D655" s="27">
        <v>45944</v>
      </c>
      <c r="E655" s="2"/>
      <c r="F655" s="2" t="s">
        <v>8</v>
      </c>
      <c r="G655" s="24" t="s">
        <v>79</v>
      </c>
    </row>
    <row r="656" spans="1:7" x14ac:dyDescent="0.2">
      <c r="A656" s="2" t="s">
        <v>2687</v>
      </c>
      <c r="B656" s="2" t="s">
        <v>2688</v>
      </c>
      <c r="C656" s="2" t="s">
        <v>61</v>
      </c>
      <c r="D656" s="27">
        <v>45941</v>
      </c>
      <c r="E656" s="2"/>
      <c r="F656" s="2" t="s">
        <v>8</v>
      </c>
      <c r="G656" s="24" t="s">
        <v>79</v>
      </c>
    </row>
    <row r="657" spans="1:7" x14ac:dyDescent="0.2">
      <c r="A657" s="2" t="s">
        <v>2689</v>
      </c>
      <c r="B657" s="2" t="s">
        <v>2690</v>
      </c>
      <c r="C657" s="2" t="s">
        <v>61</v>
      </c>
      <c r="D657" s="27">
        <v>45947</v>
      </c>
      <c r="E657" s="2"/>
      <c r="F657" s="2" t="s">
        <v>8</v>
      </c>
      <c r="G657" s="24" t="s">
        <v>79</v>
      </c>
    </row>
    <row r="658" spans="1:7" x14ac:dyDescent="0.2">
      <c r="A658" s="2" t="s">
        <v>2691</v>
      </c>
      <c r="B658" s="2" t="s">
        <v>2692</v>
      </c>
      <c r="C658" s="2" t="s">
        <v>61</v>
      </c>
      <c r="D658" s="27">
        <v>45940</v>
      </c>
      <c r="E658" s="2"/>
      <c r="F658" s="2" t="s">
        <v>8</v>
      </c>
      <c r="G658" s="24" t="s">
        <v>79</v>
      </c>
    </row>
    <row r="659" spans="1:7" x14ac:dyDescent="0.2">
      <c r="A659" s="2" t="s">
        <v>2693</v>
      </c>
      <c r="B659" s="2" t="s">
        <v>2694</v>
      </c>
      <c r="C659" s="2" t="s">
        <v>61</v>
      </c>
      <c r="D659" s="27">
        <v>45953</v>
      </c>
      <c r="E659" s="2"/>
      <c r="F659" s="2" t="s">
        <v>8</v>
      </c>
      <c r="G659" s="24" t="s">
        <v>79</v>
      </c>
    </row>
    <row r="660" spans="1:7" x14ac:dyDescent="0.2">
      <c r="A660" s="2" t="s">
        <v>2695</v>
      </c>
      <c r="B660" s="2" t="s">
        <v>2696</v>
      </c>
      <c r="C660" s="2" t="s">
        <v>61</v>
      </c>
      <c r="D660" s="27">
        <v>45954</v>
      </c>
      <c r="E660" s="2"/>
      <c r="F660" s="2" t="s">
        <v>8</v>
      </c>
      <c r="G660" s="24" t="s">
        <v>79</v>
      </c>
    </row>
    <row r="661" spans="1:7" x14ac:dyDescent="0.2">
      <c r="A661" s="2" t="s">
        <v>2697</v>
      </c>
      <c r="B661" s="2" t="s">
        <v>2698</v>
      </c>
      <c r="C661" s="2" t="s">
        <v>61</v>
      </c>
      <c r="D661" s="27">
        <v>45951</v>
      </c>
      <c r="E661" s="2"/>
      <c r="F661" s="2" t="s">
        <v>8</v>
      </c>
      <c r="G661" s="24" t="s">
        <v>79</v>
      </c>
    </row>
    <row r="662" spans="1:7" x14ac:dyDescent="0.2">
      <c r="A662" s="2" t="s">
        <v>2699</v>
      </c>
      <c r="B662" s="2" t="s">
        <v>2700</v>
      </c>
      <c r="C662" s="2" t="s">
        <v>61</v>
      </c>
      <c r="D662" s="27">
        <v>45951</v>
      </c>
      <c r="E662" s="2"/>
      <c r="F662" s="2" t="s">
        <v>8</v>
      </c>
      <c r="G662" s="24" t="s">
        <v>79</v>
      </c>
    </row>
    <row r="663" spans="1:7" x14ac:dyDescent="0.2">
      <c r="A663" s="2" t="s">
        <v>2701</v>
      </c>
      <c r="B663" s="2" t="s">
        <v>2702</v>
      </c>
      <c r="C663" s="2" t="s">
        <v>61</v>
      </c>
      <c r="D663" s="27">
        <v>45957</v>
      </c>
      <c r="E663" s="2"/>
      <c r="F663" s="2" t="s">
        <v>8</v>
      </c>
      <c r="G663" s="24" t="s">
        <v>79</v>
      </c>
    </row>
    <row r="664" spans="1:7" x14ac:dyDescent="0.2">
      <c r="A664" s="2" t="s">
        <v>2703</v>
      </c>
      <c r="B664" s="2" t="s">
        <v>2704</v>
      </c>
      <c r="C664" s="2" t="s">
        <v>61</v>
      </c>
      <c r="D664" s="27">
        <v>45944</v>
      </c>
      <c r="E664" s="2"/>
      <c r="F664" s="2" t="s">
        <v>8</v>
      </c>
      <c r="G664" s="24" t="s">
        <v>79</v>
      </c>
    </row>
    <row r="665" spans="1:7" x14ac:dyDescent="0.2">
      <c r="A665" s="2" t="s">
        <v>2705</v>
      </c>
      <c r="B665" s="2" t="s">
        <v>2706</v>
      </c>
      <c r="C665" s="2" t="s">
        <v>61</v>
      </c>
      <c r="D665" s="27">
        <v>45943</v>
      </c>
      <c r="E665" s="2"/>
      <c r="F665" s="2" t="s">
        <v>8</v>
      </c>
      <c r="G665" s="24" t="s">
        <v>79</v>
      </c>
    </row>
    <row r="666" spans="1:7" x14ac:dyDescent="0.2">
      <c r="A666" s="2" t="s">
        <v>2707</v>
      </c>
      <c r="B666" s="2" t="s">
        <v>2708</v>
      </c>
      <c r="C666" s="2" t="s">
        <v>61</v>
      </c>
      <c r="D666" s="27">
        <v>45951</v>
      </c>
      <c r="E666" s="2"/>
      <c r="F666" s="2" t="s">
        <v>8</v>
      </c>
      <c r="G666" s="24" t="s">
        <v>79</v>
      </c>
    </row>
    <row r="667" spans="1:7" x14ac:dyDescent="0.2">
      <c r="A667" s="2" t="s">
        <v>2709</v>
      </c>
      <c r="B667" s="2" t="s">
        <v>2710</v>
      </c>
      <c r="C667" s="2" t="s">
        <v>61</v>
      </c>
      <c r="D667" s="27">
        <v>45950</v>
      </c>
      <c r="E667" s="2"/>
      <c r="F667" s="2" t="s">
        <v>8</v>
      </c>
      <c r="G667" s="24" t="s">
        <v>79</v>
      </c>
    </row>
    <row r="668" spans="1:7" x14ac:dyDescent="0.2">
      <c r="A668" s="2" t="s">
        <v>2711</v>
      </c>
      <c r="B668" s="2" t="s">
        <v>2712</v>
      </c>
      <c r="C668" s="2" t="s">
        <v>61</v>
      </c>
      <c r="D668" s="27">
        <v>45932</v>
      </c>
      <c r="E668" s="2"/>
      <c r="F668" s="2" t="s">
        <v>8</v>
      </c>
      <c r="G668" s="24" t="s">
        <v>1368</v>
      </c>
    </row>
    <row r="669" spans="1:7" x14ac:dyDescent="0.2">
      <c r="A669" s="2" t="s">
        <v>2713</v>
      </c>
      <c r="B669" s="2" t="s">
        <v>2714</v>
      </c>
      <c r="C669" s="2" t="s">
        <v>61</v>
      </c>
      <c r="D669" s="27">
        <v>45947</v>
      </c>
      <c r="E669" s="2"/>
      <c r="F669" s="2" t="s">
        <v>8</v>
      </c>
      <c r="G669" s="24" t="s">
        <v>79</v>
      </c>
    </row>
    <row r="670" spans="1:7" x14ac:dyDescent="0.2">
      <c r="A670" s="2" t="s">
        <v>2715</v>
      </c>
      <c r="B670" s="2" t="s">
        <v>2716</v>
      </c>
      <c r="C670" s="2" t="s">
        <v>61</v>
      </c>
      <c r="D670" s="27">
        <v>45946</v>
      </c>
      <c r="E670" s="2"/>
      <c r="F670" s="2" t="s">
        <v>8</v>
      </c>
      <c r="G670" s="24" t="s">
        <v>97</v>
      </c>
    </row>
    <row r="671" spans="1:7" x14ac:dyDescent="0.2">
      <c r="A671" s="2" t="s">
        <v>2717</v>
      </c>
      <c r="B671" s="2" t="s">
        <v>2718</v>
      </c>
      <c r="C671" s="2" t="s">
        <v>61</v>
      </c>
      <c r="D671" s="27">
        <v>45960</v>
      </c>
      <c r="E671" s="2"/>
      <c r="F671" s="2" t="s">
        <v>8</v>
      </c>
      <c r="G671" s="24" t="s">
        <v>79</v>
      </c>
    </row>
    <row r="672" spans="1:7" x14ac:dyDescent="0.2">
      <c r="A672" s="2" t="s">
        <v>2719</v>
      </c>
      <c r="B672" s="2" t="s">
        <v>2720</v>
      </c>
      <c r="C672" s="2" t="s">
        <v>61</v>
      </c>
      <c r="D672" s="27">
        <v>45931</v>
      </c>
      <c r="E672" s="2"/>
      <c r="F672" s="2" t="s">
        <v>8</v>
      </c>
      <c r="G672" s="24" t="s">
        <v>79</v>
      </c>
    </row>
    <row r="673" spans="1:7" x14ac:dyDescent="0.2">
      <c r="A673" s="2" t="s">
        <v>2721</v>
      </c>
      <c r="B673" s="2" t="s">
        <v>2722</v>
      </c>
      <c r="C673" s="2" t="s">
        <v>61</v>
      </c>
      <c r="D673" s="27">
        <v>45947</v>
      </c>
      <c r="E673" s="2"/>
      <c r="F673" s="2" t="s">
        <v>8</v>
      </c>
      <c r="G673" s="24" t="s">
        <v>593</v>
      </c>
    </row>
    <row r="674" spans="1:7" x14ac:dyDescent="0.2">
      <c r="A674" s="2" t="s">
        <v>2723</v>
      </c>
      <c r="B674" s="2" t="s">
        <v>2724</v>
      </c>
      <c r="C674" s="2" t="s">
        <v>61</v>
      </c>
      <c r="D674" s="27">
        <v>45959</v>
      </c>
      <c r="E674" s="2"/>
      <c r="F674" s="2" t="s">
        <v>8</v>
      </c>
      <c r="G674" s="24" t="s">
        <v>3900</v>
      </c>
    </row>
    <row r="675" spans="1:7" x14ac:dyDescent="0.2">
      <c r="A675" s="2" t="s">
        <v>2725</v>
      </c>
      <c r="B675" s="2" t="s">
        <v>2726</v>
      </c>
      <c r="C675" s="2" t="s">
        <v>61</v>
      </c>
      <c r="D675" s="27">
        <v>45951</v>
      </c>
      <c r="E675" s="2"/>
      <c r="F675" s="2" t="s">
        <v>8</v>
      </c>
      <c r="G675" s="24" t="s">
        <v>595</v>
      </c>
    </row>
    <row r="676" spans="1:7" x14ac:dyDescent="0.2">
      <c r="A676" s="2" t="s">
        <v>2727</v>
      </c>
      <c r="B676" s="2" t="s">
        <v>2728</v>
      </c>
      <c r="C676" s="2" t="s">
        <v>61</v>
      </c>
      <c r="D676" s="27">
        <v>45953</v>
      </c>
      <c r="E676" s="2"/>
      <c r="F676" s="2" t="s">
        <v>8</v>
      </c>
      <c r="G676" s="24" t="s">
        <v>595</v>
      </c>
    </row>
    <row r="677" spans="1:7" x14ac:dyDescent="0.2">
      <c r="A677" s="2" t="s">
        <v>2729</v>
      </c>
      <c r="B677" s="2" t="s">
        <v>2730</v>
      </c>
      <c r="C677" s="2" t="s">
        <v>61</v>
      </c>
      <c r="D677" s="27">
        <v>45953</v>
      </c>
      <c r="E677" s="2"/>
      <c r="F677" s="2" t="s">
        <v>8</v>
      </c>
      <c r="G677" s="24" t="s">
        <v>595</v>
      </c>
    </row>
    <row r="678" spans="1:7" x14ac:dyDescent="0.2">
      <c r="A678" s="2" t="s">
        <v>2731</v>
      </c>
      <c r="B678" s="2" t="s">
        <v>2732</v>
      </c>
      <c r="C678" s="2" t="s">
        <v>61</v>
      </c>
      <c r="D678" s="27">
        <v>45954</v>
      </c>
      <c r="E678" s="2"/>
      <c r="F678" s="2" t="s">
        <v>8</v>
      </c>
      <c r="G678" s="24" t="s">
        <v>595</v>
      </c>
    </row>
    <row r="679" spans="1:7" x14ac:dyDescent="0.2">
      <c r="A679" s="2" t="s">
        <v>2733</v>
      </c>
      <c r="B679" s="2" t="s">
        <v>2734</v>
      </c>
      <c r="C679" s="2" t="s">
        <v>61</v>
      </c>
      <c r="D679" s="27">
        <v>45957</v>
      </c>
      <c r="E679" s="2"/>
      <c r="F679" s="2" t="s">
        <v>8</v>
      </c>
      <c r="G679" s="24" t="s">
        <v>3901</v>
      </c>
    </row>
    <row r="680" spans="1:7" x14ac:dyDescent="0.2">
      <c r="A680" s="2" t="s">
        <v>2735</v>
      </c>
      <c r="B680" s="2" t="s">
        <v>2736</v>
      </c>
      <c r="C680" s="2" t="s">
        <v>61</v>
      </c>
      <c r="D680" s="27">
        <v>45954</v>
      </c>
      <c r="E680" s="2"/>
      <c r="F680" s="2" t="s">
        <v>8</v>
      </c>
      <c r="G680" s="24" t="s">
        <v>95</v>
      </c>
    </row>
    <row r="681" spans="1:7" x14ac:dyDescent="0.2">
      <c r="A681" s="2" t="s">
        <v>2737</v>
      </c>
      <c r="B681" s="2" t="s">
        <v>2738</v>
      </c>
      <c r="C681" s="2" t="s">
        <v>61</v>
      </c>
      <c r="D681" s="27">
        <v>45951</v>
      </c>
      <c r="E681" s="2"/>
      <c r="F681" s="2" t="s">
        <v>8</v>
      </c>
      <c r="G681" s="24" t="s">
        <v>95</v>
      </c>
    </row>
    <row r="682" spans="1:7" x14ac:dyDescent="0.2">
      <c r="A682" s="2" t="s">
        <v>2739</v>
      </c>
      <c r="B682" s="2" t="s">
        <v>2740</v>
      </c>
      <c r="C682" s="2" t="s">
        <v>61</v>
      </c>
      <c r="D682" s="27">
        <v>45958</v>
      </c>
      <c r="E682" s="2"/>
      <c r="F682" s="2" t="s">
        <v>8</v>
      </c>
      <c r="G682" s="24" t="s">
        <v>95</v>
      </c>
    </row>
    <row r="683" spans="1:7" x14ac:dyDescent="0.2">
      <c r="A683" s="2" t="s">
        <v>2741</v>
      </c>
      <c r="B683" s="2" t="s">
        <v>2742</v>
      </c>
      <c r="C683" s="2" t="s">
        <v>61</v>
      </c>
      <c r="D683" s="27">
        <v>45954</v>
      </c>
      <c r="E683" s="2"/>
      <c r="F683" s="2" t="s">
        <v>8</v>
      </c>
      <c r="G683" s="24" t="s">
        <v>95</v>
      </c>
    </row>
    <row r="684" spans="1:7" x14ac:dyDescent="0.2">
      <c r="A684" s="2" t="s">
        <v>2743</v>
      </c>
      <c r="B684" s="2" t="s">
        <v>2744</v>
      </c>
      <c r="C684" s="2" t="s">
        <v>61</v>
      </c>
      <c r="D684" s="27">
        <v>45954</v>
      </c>
      <c r="E684" s="2"/>
      <c r="F684" s="2" t="s">
        <v>8</v>
      </c>
      <c r="G684" s="24" t="s">
        <v>95</v>
      </c>
    </row>
    <row r="685" spans="1:7" x14ac:dyDescent="0.2">
      <c r="A685" s="2" t="s">
        <v>2745</v>
      </c>
      <c r="B685" s="2" t="s">
        <v>2746</v>
      </c>
      <c r="C685" s="2" t="s">
        <v>61</v>
      </c>
      <c r="D685" s="27">
        <v>45953</v>
      </c>
      <c r="E685" s="2"/>
      <c r="F685" s="2" t="s">
        <v>8</v>
      </c>
      <c r="G685" s="24" t="s">
        <v>1367</v>
      </c>
    </row>
    <row r="686" spans="1:7" x14ac:dyDescent="0.2">
      <c r="A686" s="2" t="s">
        <v>2747</v>
      </c>
      <c r="B686" s="2" t="s">
        <v>2748</v>
      </c>
      <c r="C686" s="2" t="s">
        <v>61</v>
      </c>
      <c r="D686" s="27">
        <v>45955</v>
      </c>
      <c r="E686" s="2"/>
      <c r="F686" s="2" t="s">
        <v>8</v>
      </c>
      <c r="G686" s="24" t="s">
        <v>95</v>
      </c>
    </row>
    <row r="687" spans="1:7" x14ac:dyDescent="0.2">
      <c r="A687" s="2" t="s">
        <v>2749</v>
      </c>
      <c r="B687" s="2" t="s">
        <v>2750</v>
      </c>
      <c r="C687" s="2" t="s">
        <v>61</v>
      </c>
      <c r="D687" s="27">
        <v>45958</v>
      </c>
      <c r="E687" s="2"/>
      <c r="F687" s="2" t="s">
        <v>8</v>
      </c>
      <c r="G687" s="24" t="s">
        <v>95</v>
      </c>
    </row>
    <row r="688" spans="1:7" x14ac:dyDescent="0.2">
      <c r="A688" s="2" t="s">
        <v>2751</v>
      </c>
      <c r="B688" s="2" t="s">
        <v>2752</v>
      </c>
      <c r="C688" s="2" t="s">
        <v>61</v>
      </c>
      <c r="D688" s="27">
        <v>45951</v>
      </c>
      <c r="E688" s="2"/>
      <c r="F688" s="2" t="s">
        <v>8</v>
      </c>
      <c r="G688" s="24" t="s">
        <v>95</v>
      </c>
    </row>
    <row r="689" spans="1:7" x14ac:dyDescent="0.2">
      <c r="A689" s="2" t="s">
        <v>2753</v>
      </c>
      <c r="B689" s="2" t="s">
        <v>2754</v>
      </c>
      <c r="C689" s="2" t="s">
        <v>61</v>
      </c>
      <c r="D689" s="27">
        <v>45957</v>
      </c>
      <c r="E689" s="2"/>
      <c r="F689" s="2" t="s">
        <v>8</v>
      </c>
      <c r="G689" s="24" t="s">
        <v>594</v>
      </c>
    </row>
    <row r="690" spans="1:7" x14ac:dyDescent="0.2">
      <c r="A690" s="2" t="s">
        <v>2755</v>
      </c>
      <c r="B690" s="2" t="s">
        <v>2756</v>
      </c>
      <c r="C690" s="2" t="s">
        <v>61</v>
      </c>
      <c r="D690" s="27">
        <v>45954</v>
      </c>
      <c r="E690" s="2"/>
      <c r="F690" s="2" t="s">
        <v>8</v>
      </c>
      <c r="G690" s="24" t="s">
        <v>95</v>
      </c>
    </row>
    <row r="691" spans="1:7" x14ac:dyDescent="0.2">
      <c r="A691" s="2" t="s">
        <v>2757</v>
      </c>
      <c r="B691" s="2" t="s">
        <v>2758</v>
      </c>
      <c r="C691" s="2" t="s">
        <v>61</v>
      </c>
      <c r="D691" s="27">
        <v>45936</v>
      </c>
      <c r="E691" s="2"/>
      <c r="F691" s="2" t="s">
        <v>8</v>
      </c>
      <c r="G691" s="24" t="s">
        <v>95</v>
      </c>
    </row>
    <row r="692" spans="1:7" x14ac:dyDescent="0.2">
      <c r="A692" s="2" t="s">
        <v>2759</v>
      </c>
      <c r="B692" s="2" t="s">
        <v>2760</v>
      </c>
      <c r="C692" s="2" t="s">
        <v>61</v>
      </c>
      <c r="D692" s="27">
        <v>45960</v>
      </c>
      <c r="E692" s="2"/>
      <c r="F692" s="2" t="s">
        <v>8</v>
      </c>
      <c r="G692" s="24" t="s">
        <v>95</v>
      </c>
    </row>
    <row r="693" spans="1:7" x14ac:dyDescent="0.2">
      <c r="A693" s="2" t="s">
        <v>2761</v>
      </c>
      <c r="B693" s="2" t="s">
        <v>2762</v>
      </c>
      <c r="C693" s="2" t="s">
        <v>61</v>
      </c>
      <c r="D693" s="27">
        <v>45952</v>
      </c>
      <c r="E693" s="2"/>
      <c r="F693" s="2" t="s">
        <v>8</v>
      </c>
      <c r="G693" s="24" t="s">
        <v>59</v>
      </c>
    </row>
    <row r="694" spans="1:7" x14ac:dyDescent="0.2">
      <c r="A694" s="2" t="s">
        <v>2763</v>
      </c>
      <c r="B694" s="2" t="s">
        <v>2764</v>
      </c>
      <c r="C694" s="2" t="s">
        <v>61</v>
      </c>
      <c r="D694" s="27">
        <v>45932</v>
      </c>
      <c r="E694" s="2"/>
      <c r="F694" s="2" t="s">
        <v>8</v>
      </c>
      <c r="G694" s="24" t="s">
        <v>95</v>
      </c>
    </row>
    <row r="695" spans="1:7" x14ac:dyDescent="0.2">
      <c r="A695" s="2" t="s">
        <v>2765</v>
      </c>
      <c r="B695" s="2" t="s">
        <v>2766</v>
      </c>
      <c r="C695" s="2" t="s">
        <v>61</v>
      </c>
      <c r="D695" s="27">
        <v>45947</v>
      </c>
      <c r="E695" s="2"/>
      <c r="F695" s="2" t="s">
        <v>8</v>
      </c>
      <c r="G695" s="24" t="s">
        <v>95</v>
      </c>
    </row>
    <row r="696" spans="1:7" x14ac:dyDescent="0.2">
      <c r="A696" s="2" t="s">
        <v>2767</v>
      </c>
      <c r="B696" s="2" t="s">
        <v>2768</v>
      </c>
      <c r="C696" s="2" t="s">
        <v>61</v>
      </c>
      <c r="D696" s="27">
        <v>45953</v>
      </c>
      <c r="E696" s="2"/>
      <c r="F696" s="2" t="s">
        <v>8</v>
      </c>
      <c r="G696" s="24" t="s">
        <v>95</v>
      </c>
    </row>
    <row r="697" spans="1:7" x14ac:dyDescent="0.2">
      <c r="A697" s="2" t="s">
        <v>2769</v>
      </c>
      <c r="B697" s="2" t="s">
        <v>2770</v>
      </c>
      <c r="C697" s="2" t="s">
        <v>61</v>
      </c>
      <c r="D697" s="27">
        <v>45961</v>
      </c>
      <c r="E697" s="2"/>
      <c r="F697" s="2" t="s">
        <v>8</v>
      </c>
      <c r="G697" s="24" t="s">
        <v>95</v>
      </c>
    </row>
    <row r="698" spans="1:7" x14ac:dyDescent="0.2">
      <c r="A698" s="2" t="s">
        <v>2771</v>
      </c>
      <c r="B698" s="2" t="s">
        <v>2772</v>
      </c>
      <c r="C698" s="2" t="s">
        <v>61</v>
      </c>
      <c r="D698" s="27">
        <v>45939</v>
      </c>
      <c r="E698" s="2"/>
      <c r="F698" s="2" t="s">
        <v>8</v>
      </c>
      <c r="G698" s="24" t="s">
        <v>3901</v>
      </c>
    </row>
    <row r="699" spans="1:7" x14ac:dyDescent="0.2">
      <c r="A699" s="2" t="s">
        <v>2773</v>
      </c>
      <c r="B699" s="2" t="s">
        <v>2774</v>
      </c>
      <c r="C699" s="2" t="s">
        <v>61</v>
      </c>
      <c r="D699" s="27">
        <v>45959</v>
      </c>
      <c r="E699" s="2"/>
      <c r="F699" s="2" t="s">
        <v>8</v>
      </c>
      <c r="G699" s="24" t="s">
        <v>3901</v>
      </c>
    </row>
    <row r="700" spans="1:7" x14ac:dyDescent="0.2">
      <c r="A700" s="2" t="s">
        <v>2775</v>
      </c>
      <c r="B700" s="2" t="s">
        <v>2776</v>
      </c>
      <c r="C700" s="2" t="s">
        <v>61</v>
      </c>
      <c r="D700" s="27">
        <v>45952</v>
      </c>
      <c r="E700" s="2"/>
      <c r="F700" s="2" t="s">
        <v>8</v>
      </c>
      <c r="G700" s="24" t="s">
        <v>59</v>
      </c>
    </row>
    <row r="701" spans="1:7" x14ac:dyDescent="0.2">
      <c r="A701" s="2" t="s">
        <v>2777</v>
      </c>
      <c r="B701" s="2" t="s">
        <v>2778</v>
      </c>
      <c r="C701" s="2" t="s">
        <v>61</v>
      </c>
      <c r="D701" s="27">
        <v>45946</v>
      </c>
      <c r="E701" s="2"/>
      <c r="F701" s="2" t="s">
        <v>8</v>
      </c>
      <c r="G701" s="24" t="s">
        <v>95</v>
      </c>
    </row>
    <row r="702" spans="1:7" x14ac:dyDescent="0.2">
      <c r="A702" s="2" t="s">
        <v>2779</v>
      </c>
      <c r="B702" s="2" t="s">
        <v>2780</v>
      </c>
      <c r="C702" s="2" t="s">
        <v>61</v>
      </c>
      <c r="D702" s="27">
        <v>45959</v>
      </c>
      <c r="E702" s="2"/>
      <c r="F702" s="2" t="s">
        <v>8</v>
      </c>
      <c r="G702" s="24" t="s">
        <v>95</v>
      </c>
    </row>
    <row r="703" spans="1:7" x14ac:dyDescent="0.2">
      <c r="A703" s="2" t="s">
        <v>2781</v>
      </c>
      <c r="B703" s="2" t="s">
        <v>2782</v>
      </c>
      <c r="C703" s="2" t="s">
        <v>61</v>
      </c>
      <c r="D703" s="27">
        <v>45940</v>
      </c>
      <c r="E703" s="2"/>
      <c r="F703" s="2" t="s">
        <v>8</v>
      </c>
      <c r="G703" s="24" t="s">
        <v>593</v>
      </c>
    </row>
    <row r="704" spans="1:7" x14ac:dyDescent="0.2">
      <c r="A704" s="2" t="s">
        <v>2783</v>
      </c>
      <c r="B704" s="2" t="s">
        <v>2784</v>
      </c>
      <c r="C704" s="2" t="s">
        <v>61</v>
      </c>
      <c r="D704" s="27">
        <v>45958</v>
      </c>
      <c r="E704" s="2"/>
      <c r="F704" s="2" t="s">
        <v>8</v>
      </c>
      <c r="G704" s="24" t="s">
        <v>95</v>
      </c>
    </row>
    <row r="705" spans="1:7" x14ac:dyDescent="0.2">
      <c r="A705" s="2" t="s">
        <v>2785</v>
      </c>
      <c r="B705" s="2" t="s">
        <v>2786</v>
      </c>
      <c r="C705" s="2" t="s">
        <v>61</v>
      </c>
      <c r="D705" s="27">
        <v>45951</v>
      </c>
      <c r="E705" s="2"/>
      <c r="F705" s="2" t="s">
        <v>8</v>
      </c>
      <c r="G705" s="24" t="s">
        <v>79</v>
      </c>
    </row>
    <row r="706" spans="1:7" x14ac:dyDescent="0.2">
      <c r="A706" s="2" t="s">
        <v>2787</v>
      </c>
      <c r="B706" s="2" t="s">
        <v>2788</v>
      </c>
      <c r="C706" s="2" t="s">
        <v>61</v>
      </c>
      <c r="D706" s="27">
        <v>45933</v>
      </c>
      <c r="E706" s="2"/>
      <c r="F706" s="2" t="s">
        <v>8</v>
      </c>
      <c r="G706" s="24" t="s">
        <v>59</v>
      </c>
    </row>
    <row r="707" spans="1:7" x14ac:dyDescent="0.2">
      <c r="A707" s="2" t="s">
        <v>2789</v>
      </c>
      <c r="B707" s="2" t="s">
        <v>2790</v>
      </c>
      <c r="C707" s="2" t="s">
        <v>61</v>
      </c>
      <c r="D707" s="27">
        <v>45953</v>
      </c>
      <c r="E707" s="2"/>
      <c r="F707" s="2" t="s">
        <v>8</v>
      </c>
      <c r="G707" s="24" t="s">
        <v>97</v>
      </c>
    </row>
    <row r="708" spans="1:7" x14ac:dyDescent="0.2">
      <c r="A708" s="2" t="s">
        <v>2791</v>
      </c>
      <c r="B708" s="2" t="s">
        <v>2792</v>
      </c>
      <c r="C708" s="2" t="s">
        <v>61</v>
      </c>
      <c r="D708" s="27">
        <v>45947</v>
      </c>
      <c r="E708" s="2"/>
      <c r="F708" s="2" t="s">
        <v>8</v>
      </c>
      <c r="G708" s="24" t="s">
        <v>95</v>
      </c>
    </row>
    <row r="709" spans="1:7" x14ac:dyDescent="0.2">
      <c r="A709" s="2" t="s">
        <v>2793</v>
      </c>
      <c r="B709" s="2" t="s">
        <v>2794</v>
      </c>
      <c r="C709" s="2" t="s">
        <v>61</v>
      </c>
      <c r="D709" s="27">
        <v>45947</v>
      </c>
      <c r="E709" s="2"/>
      <c r="F709" s="2" t="s">
        <v>8</v>
      </c>
      <c r="G709" s="24" t="s">
        <v>95</v>
      </c>
    </row>
    <row r="710" spans="1:7" x14ac:dyDescent="0.2">
      <c r="A710" s="2" t="s">
        <v>2795</v>
      </c>
      <c r="B710" s="2" t="s">
        <v>2796</v>
      </c>
      <c r="C710" s="2" t="s">
        <v>61</v>
      </c>
      <c r="D710" s="27">
        <v>45947</v>
      </c>
      <c r="E710" s="2"/>
      <c r="F710" s="2" t="s">
        <v>8</v>
      </c>
      <c r="G710" s="24" t="s">
        <v>3901</v>
      </c>
    </row>
    <row r="711" spans="1:7" x14ac:dyDescent="0.2">
      <c r="A711" s="2" t="s">
        <v>2797</v>
      </c>
      <c r="B711" s="2" t="s">
        <v>2798</v>
      </c>
      <c r="C711" s="2" t="s">
        <v>61</v>
      </c>
      <c r="D711" s="27">
        <v>45932</v>
      </c>
      <c r="E711" s="2"/>
      <c r="F711" s="2" t="s">
        <v>8</v>
      </c>
      <c r="G711" s="24" t="s">
        <v>95</v>
      </c>
    </row>
    <row r="712" spans="1:7" x14ac:dyDescent="0.2">
      <c r="A712" s="2" t="s">
        <v>2799</v>
      </c>
      <c r="B712" s="2" t="s">
        <v>2800</v>
      </c>
      <c r="C712" s="2" t="s">
        <v>61</v>
      </c>
      <c r="D712" s="27">
        <v>45953</v>
      </c>
      <c r="E712" s="2"/>
      <c r="F712" s="2" t="s">
        <v>8</v>
      </c>
      <c r="G712" s="24" t="s">
        <v>95</v>
      </c>
    </row>
    <row r="713" spans="1:7" x14ac:dyDescent="0.2">
      <c r="A713" s="2" t="s">
        <v>2801</v>
      </c>
      <c r="B713" s="2" t="s">
        <v>2802</v>
      </c>
      <c r="C713" s="2" t="s">
        <v>61</v>
      </c>
      <c r="D713" s="27">
        <v>45961</v>
      </c>
      <c r="E713" s="2"/>
      <c r="F713" s="2" t="s">
        <v>8</v>
      </c>
      <c r="G713" s="24" t="s">
        <v>3901</v>
      </c>
    </row>
    <row r="714" spans="1:7" x14ac:dyDescent="0.2">
      <c r="A714" s="2" t="s">
        <v>2803</v>
      </c>
      <c r="B714" s="2" t="s">
        <v>2804</v>
      </c>
      <c r="C714" s="2" t="s">
        <v>61</v>
      </c>
      <c r="D714" s="27">
        <v>45946</v>
      </c>
      <c r="E714" s="2"/>
      <c r="F714" s="2" t="s">
        <v>8</v>
      </c>
      <c r="G714" s="24" t="s">
        <v>95</v>
      </c>
    </row>
    <row r="715" spans="1:7" x14ac:dyDescent="0.2">
      <c r="A715" s="2" t="s">
        <v>2805</v>
      </c>
      <c r="B715" s="2" t="s">
        <v>2806</v>
      </c>
      <c r="C715" s="2" t="s">
        <v>61</v>
      </c>
      <c r="D715" s="27">
        <v>45960</v>
      </c>
      <c r="E715" s="2"/>
      <c r="F715" s="2" t="s">
        <v>8</v>
      </c>
      <c r="G715" s="24" t="s">
        <v>95</v>
      </c>
    </row>
    <row r="716" spans="1:7" x14ac:dyDescent="0.2">
      <c r="A716" s="2" t="s">
        <v>2807</v>
      </c>
      <c r="B716" s="2" t="s">
        <v>2808</v>
      </c>
      <c r="C716" s="2" t="s">
        <v>61</v>
      </c>
      <c r="D716" s="27">
        <v>45946</v>
      </c>
      <c r="E716" s="2"/>
      <c r="F716" s="2" t="s">
        <v>8</v>
      </c>
      <c r="G716" s="24" t="s">
        <v>3901</v>
      </c>
    </row>
    <row r="717" spans="1:7" x14ac:dyDescent="0.2">
      <c r="A717" s="2" t="s">
        <v>2809</v>
      </c>
      <c r="B717" s="2" t="s">
        <v>2810</v>
      </c>
      <c r="C717" s="2" t="s">
        <v>61</v>
      </c>
      <c r="D717" s="27">
        <v>45953</v>
      </c>
      <c r="E717" s="2"/>
      <c r="F717" s="2" t="s">
        <v>8</v>
      </c>
      <c r="G717" s="24" t="s">
        <v>95</v>
      </c>
    </row>
    <row r="718" spans="1:7" x14ac:dyDescent="0.2">
      <c r="A718" s="2" t="s">
        <v>2811</v>
      </c>
      <c r="B718" s="2" t="s">
        <v>2812</v>
      </c>
      <c r="C718" s="2" t="s">
        <v>61</v>
      </c>
      <c r="D718" s="27">
        <v>45957</v>
      </c>
      <c r="E718" s="2"/>
      <c r="F718" s="2" t="s">
        <v>8</v>
      </c>
      <c r="G718" s="24" t="s">
        <v>3901</v>
      </c>
    </row>
    <row r="719" spans="1:7" x14ac:dyDescent="0.2">
      <c r="A719" s="2" t="s">
        <v>2813</v>
      </c>
      <c r="B719" s="2" t="s">
        <v>2814</v>
      </c>
      <c r="C719" s="2" t="s">
        <v>61</v>
      </c>
      <c r="D719" s="27">
        <v>45951</v>
      </c>
      <c r="E719" s="2"/>
      <c r="F719" s="2" t="s">
        <v>8</v>
      </c>
      <c r="G719" s="24" t="s">
        <v>59</v>
      </c>
    </row>
    <row r="720" spans="1:7" x14ac:dyDescent="0.2">
      <c r="A720" s="2" t="s">
        <v>2815</v>
      </c>
      <c r="B720" s="2" t="s">
        <v>2816</v>
      </c>
      <c r="C720" s="2" t="s">
        <v>61</v>
      </c>
      <c r="D720" s="27">
        <v>45945</v>
      </c>
      <c r="E720" s="2"/>
      <c r="F720" s="2" t="s">
        <v>8</v>
      </c>
      <c r="G720" s="24" t="s">
        <v>593</v>
      </c>
    </row>
    <row r="721" spans="1:7" x14ac:dyDescent="0.2">
      <c r="A721" s="2" t="s">
        <v>2817</v>
      </c>
      <c r="B721" s="2" t="s">
        <v>2818</v>
      </c>
      <c r="C721" s="2" t="s">
        <v>61</v>
      </c>
      <c r="D721" s="27">
        <v>45958</v>
      </c>
      <c r="E721" s="2"/>
      <c r="F721" s="2" t="s">
        <v>8</v>
      </c>
      <c r="G721" s="24" t="s">
        <v>95</v>
      </c>
    </row>
    <row r="722" spans="1:7" x14ac:dyDescent="0.2">
      <c r="A722" s="2" t="s">
        <v>2819</v>
      </c>
      <c r="B722" s="2" t="s">
        <v>2820</v>
      </c>
      <c r="C722" s="2" t="s">
        <v>61</v>
      </c>
      <c r="D722" s="27">
        <v>45953</v>
      </c>
      <c r="E722" s="2"/>
      <c r="F722" s="2" t="s">
        <v>8</v>
      </c>
      <c r="G722" s="24" t="s">
        <v>95</v>
      </c>
    </row>
    <row r="723" spans="1:7" x14ac:dyDescent="0.2">
      <c r="A723" s="2" t="s">
        <v>2821</v>
      </c>
      <c r="B723" s="2" t="s">
        <v>2822</v>
      </c>
      <c r="C723" s="2" t="s">
        <v>61</v>
      </c>
      <c r="D723" s="27">
        <v>45958</v>
      </c>
      <c r="E723" s="2"/>
      <c r="F723" s="2" t="s">
        <v>8</v>
      </c>
      <c r="G723" s="24" t="s">
        <v>95</v>
      </c>
    </row>
    <row r="724" spans="1:7" x14ac:dyDescent="0.2">
      <c r="A724" s="2" t="s">
        <v>2823</v>
      </c>
      <c r="B724" s="2" t="s">
        <v>2824</v>
      </c>
      <c r="C724" s="2" t="s">
        <v>61</v>
      </c>
      <c r="D724" s="27">
        <v>45959</v>
      </c>
      <c r="E724" s="2"/>
      <c r="F724" s="2" t="s">
        <v>8</v>
      </c>
      <c r="G724" s="24" t="s">
        <v>3901</v>
      </c>
    </row>
    <row r="725" spans="1:7" x14ac:dyDescent="0.2">
      <c r="A725" s="2" t="s">
        <v>2825</v>
      </c>
      <c r="B725" s="2" t="s">
        <v>2826</v>
      </c>
      <c r="C725" s="2" t="s">
        <v>61</v>
      </c>
      <c r="D725" s="27">
        <v>45957</v>
      </c>
      <c r="E725" s="2"/>
      <c r="F725" s="2" t="s">
        <v>8</v>
      </c>
      <c r="G725" s="24" t="s">
        <v>95</v>
      </c>
    </row>
    <row r="726" spans="1:7" x14ac:dyDescent="0.2">
      <c r="A726" s="2" t="s">
        <v>2827</v>
      </c>
      <c r="B726" s="2" t="s">
        <v>2828</v>
      </c>
      <c r="C726" s="2" t="s">
        <v>61</v>
      </c>
      <c r="D726" s="27">
        <v>45959</v>
      </c>
      <c r="E726" s="2"/>
      <c r="F726" s="2" t="s">
        <v>8</v>
      </c>
      <c r="G726" s="24" t="s">
        <v>95</v>
      </c>
    </row>
    <row r="727" spans="1:7" x14ac:dyDescent="0.2">
      <c r="A727" s="2" t="s">
        <v>2829</v>
      </c>
      <c r="B727" s="2" t="s">
        <v>2830</v>
      </c>
      <c r="C727" s="2" t="s">
        <v>61</v>
      </c>
      <c r="D727" s="27">
        <v>45959</v>
      </c>
      <c r="E727" s="2"/>
      <c r="F727" s="2" t="s">
        <v>8</v>
      </c>
      <c r="G727" s="24" t="s">
        <v>3901</v>
      </c>
    </row>
    <row r="728" spans="1:7" x14ac:dyDescent="0.2">
      <c r="A728" s="2" t="s">
        <v>2831</v>
      </c>
      <c r="B728" s="2" t="s">
        <v>2832</v>
      </c>
      <c r="C728" s="2" t="s">
        <v>61</v>
      </c>
      <c r="D728" s="27">
        <v>45951</v>
      </c>
      <c r="E728" s="2"/>
      <c r="F728" s="2" t="s">
        <v>8</v>
      </c>
      <c r="G728" s="24" t="s">
        <v>95</v>
      </c>
    </row>
    <row r="729" spans="1:7" x14ac:dyDescent="0.2">
      <c r="A729" s="2" t="s">
        <v>2833</v>
      </c>
      <c r="B729" s="2" t="s">
        <v>2834</v>
      </c>
      <c r="C729" s="2" t="s">
        <v>61</v>
      </c>
      <c r="D729" s="27">
        <v>45940</v>
      </c>
      <c r="E729" s="2"/>
      <c r="F729" s="2" t="s">
        <v>8</v>
      </c>
      <c r="G729" s="24" t="s">
        <v>59</v>
      </c>
    </row>
    <row r="730" spans="1:7" x14ac:dyDescent="0.2">
      <c r="A730" s="2" t="s">
        <v>2835</v>
      </c>
      <c r="B730" s="2" t="s">
        <v>2836</v>
      </c>
      <c r="C730" s="2" t="s">
        <v>61</v>
      </c>
      <c r="D730" s="27">
        <v>45938</v>
      </c>
      <c r="E730" s="2"/>
      <c r="F730" s="2" t="s">
        <v>8</v>
      </c>
      <c r="G730" s="24" t="s">
        <v>1369</v>
      </c>
    </row>
    <row r="731" spans="1:7" x14ac:dyDescent="0.2">
      <c r="A731" s="2" t="s">
        <v>2837</v>
      </c>
      <c r="B731" s="2" t="s">
        <v>2838</v>
      </c>
      <c r="C731" s="2" t="s">
        <v>61</v>
      </c>
      <c r="D731" s="27">
        <v>45932</v>
      </c>
      <c r="E731" s="2"/>
      <c r="F731" s="2" t="s">
        <v>8</v>
      </c>
      <c r="G731" s="24" t="s">
        <v>95</v>
      </c>
    </row>
    <row r="732" spans="1:7" x14ac:dyDescent="0.2">
      <c r="A732" s="2" t="s">
        <v>2839</v>
      </c>
      <c r="B732" s="2" t="s">
        <v>2840</v>
      </c>
      <c r="C732" s="2" t="s">
        <v>61</v>
      </c>
      <c r="D732" s="27">
        <v>45960</v>
      </c>
      <c r="E732" s="2"/>
      <c r="F732" s="2" t="s">
        <v>8</v>
      </c>
      <c r="G732" s="24" t="s">
        <v>95</v>
      </c>
    </row>
    <row r="733" spans="1:7" x14ac:dyDescent="0.2">
      <c r="A733" s="2" t="s">
        <v>2841</v>
      </c>
      <c r="B733" s="2" t="s">
        <v>2842</v>
      </c>
      <c r="C733" s="2" t="s">
        <v>61</v>
      </c>
      <c r="D733" s="27">
        <v>45961</v>
      </c>
      <c r="E733" s="2"/>
      <c r="F733" s="2" t="s">
        <v>8</v>
      </c>
      <c r="G733" s="24" t="s">
        <v>95</v>
      </c>
    </row>
    <row r="734" spans="1:7" x14ac:dyDescent="0.2">
      <c r="A734" s="2" t="s">
        <v>2843</v>
      </c>
      <c r="B734" s="2" t="s">
        <v>2844</v>
      </c>
      <c r="C734" s="2" t="s">
        <v>61</v>
      </c>
      <c r="D734" s="27">
        <v>45953</v>
      </c>
      <c r="E734" s="2"/>
      <c r="F734" s="2" t="s">
        <v>8</v>
      </c>
      <c r="G734" s="24" t="s">
        <v>95</v>
      </c>
    </row>
    <row r="735" spans="1:7" x14ac:dyDescent="0.2">
      <c r="A735" s="2" t="s">
        <v>2845</v>
      </c>
      <c r="B735" s="2" t="s">
        <v>2846</v>
      </c>
      <c r="C735" s="2" t="s">
        <v>61</v>
      </c>
      <c r="D735" s="27">
        <v>45958</v>
      </c>
      <c r="E735" s="2"/>
      <c r="F735" s="2" t="s">
        <v>8</v>
      </c>
      <c r="G735" s="24" t="s">
        <v>3901</v>
      </c>
    </row>
    <row r="736" spans="1:7" x14ac:dyDescent="0.2">
      <c r="A736" s="2" t="s">
        <v>2847</v>
      </c>
      <c r="B736" s="2" t="s">
        <v>2848</v>
      </c>
      <c r="C736" s="2" t="s">
        <v>61</v>
      </c>
      <c r="D736" s="27">
        <v>45945</v>
      </c>
      <c r="E736" s="2"/>
      <c r="F736" s="2" t="s">
        <v>8</v>
      </c>
      <c r="G736" s="24" t="s">
        <v>1367</v>
      </c>
    </row>
    <row r="737" spans="1:7" x14ac:dyDescent="0.2">
      <c r="A737" s="2" t="s">
        <v>2849</v>
      </c>
      <c r="B737" s="2" t="s">
        <v>2850</v>
      </c>
      <c r="C737" s="2" t="s">
        <v>61</v>
      </c>
      <c r="D737" s="27">
        <v>45931</v>
      </c>
      <c r="E737" s="2"/>
      <c r="F737" s="2" t="s">
        <v>8</v>
      </c>
      <c r="G737" s="24" t="s">
        <v>59</v>
      </c>
    </row>
    <row r="738" spans="1:7" x14ac:dyDescent="0.2">
      <c r="A738" s="2" t="s">
        <v>2851</v>
      </c>
      <c r="B738" s="2" t="s">
        <v>2852</v>
      </c>
      <c r="C738" s="2" t="s">
        <v>61</v>
      </c>
      <c r="D738" s="27">
        <v>45960</v>
      </c>
      <c r="E738" s="2"/>
      <c r="F738" s="2" t="s">
        <v>8</v>
      </c>
      <c r="G738" s="24" t="s">
        <v>95</v>
      </c>
    </row>
    <row r="739" spans="1:7" x14ac:dyDescent="0.2">
      <c r="A739" s="2" t="s">
        <v>2853</v>
      </c>
      <c r="B739" s="2" t="s">
        <v>2854</v>
      </c>
      <c r="C739" s="2" t="s">
        <v>61</v>
      </c>
      <c r="D739" s="27">
        <v>45946</v>
      </c>
      <c r="E739" s="2"/>
      <c r="F739" s="2" t="s">
        <v>8</v>
      </c>
      <c r="G739" s="24" t="s">
        <v>95</v>
      </c>
    </row>
    <row r="740" spans="1:7" x14ac:dyDescent="0.2">
      <c r="A740" s="2" t="s">
        <v>2855</v>
      </c>
      <c r="B740" s="2" t="s">
        <v>2856</v>
      </c>
      <c r="C740" s="2" t="s">
        <v>61</v>
      </c>
      <c r="D740" s="27">
        <v>45938</v>
      </c>
      <c r="E740" s="2"/>
      <c r="F740" s="2" t="s">
        <v>8</v>
      </c>
      <c r="G740" s="24" t="s">
        <v>59</v>
      </c>
    </row>
    <row r="741" spans="1:7" x14ac:dyDescent="0.2">
      <c r="A741" s="2" t="s">
        <v>2857</v>
      </c>
      <c r="B741" s="2" t="s">
        <v>2858</v>
      </c>
      <c r="C741" s="2" t="s">
        <v>61</v>
      </c>
      <c r="D741" s="27">
        <v>45947</v>
      </c>
      <c r="E741" s="2"/>
      <c r="F741" s="2" t="s">
        <v>8</v>
      </c>
      <c r="G741" s="24" t="s">
        <v>95</v>
      </c>
    </row>
    <row r="742" spans="1:7" x14ac:dyDescent="0.2">
      <c r="A742" s="2" t="s">
        <v>2859</v>
      </c>
      <c r="B742" s="2" t="s">
        <v>2860</v>
      </c>
      <c r="C742" s="2" t="s">
        <v>61</v>
      </c>
      <c r="D742" s="27">
        <v>45945</v>
      </c>
      <c r="E742" s="2"/>
      <c r="F742" s="2" t="s">
        <v>8</v>
      </c>
      <c r="G742" s="24" t="s">
        <v>95</v>
      </c>
    </row>
    <row r="743" spans="1:7" x14ac:dyDescent="0.2">
      <c r="A743" s="2" t="s">
        <v>2861</v>
      </c>
      <c r="B743" s="2" t="s">
        <v>2862</v>
      </c>
      <c r="C743" s="2" t="s">
        <v>61</v>
      </c>
      <c r="D743" s="27">
        <v>45950</v>
      </c>
      <c r="E743" s="2"/>
      <c r="F743" s="2" t="s">
        <v>8</v>
      </c>
      <c r="G743" s="24" t="s">
        <v>95</v>
      </c>
    </row>
    <row r="744" spans="1:7" x14ac:dyDescent="0.2">
      <c r="A744" s="2" t="s">
        <v>2863</v>
      </c>
      <c r="B744" s="2" t="s">
        <v>2864</v>
      </c>
      <c r="C744" s="2" t="s">
        <v>61</v>
      </c>
      <c r="D744" s="27">
        <v>45953</v>
      </c>
      <c r="E744" s="2"/>
      <c r="F744" s="2" t="s">
        <v>8</v>
      </c>
      <c r="G744" s="24" t="s">
        <v>79</v>
      </c>
    </row>
    <row r="745" spans="1:7" x14ac:dyDescent="0.2">
      <c r="A745" s="2" t="s">
        <v>2865</v>
      </c>
      <c r="B745" s="2" t="s">
        <v>2866</v>
      </c>
      <c r="C745" s="2" t="s">
        <v>61</v>
      </c>
      <c r="D745" s="27">
        <v>45960</v>
      </c>
      <c r="E745" s="2"/>
      <c r="F745" s="2" t="s">
        <v>8</v>
      </c>
      <c r="G745" s="24" t="s">
        <v>95</v>
      </c>
    </row>
    <row r="746" spans="1:7" x14ac:dyDescent="0.2">
      <c r="A746" s="2" t="s">
        <v>2867</v>
      </c>
      <c r="B746" s="2" t="s">
        <v>2868</v>
      </c>
      <c r="C746" s="2" t="s">
        <v>61</v>
      </c>
      <c r="D746" s="27">
        <v>45953</v>
      </c>
      <c r="E746" s="2"/>
      <c r="F746" s="2" t="s">
        <v>8</v>
      </c>
      <c r="G746" s="24" t="s">
        <v>95</v>
      </c>
    </row>
    <row r="747" spans="1:7" x14ac:dyDescent="0.2">
      <c r="A747" s="2" t="s">
        <v>2869</v>
      </c>
      <c r="B747" s="2" t="s">
        <v>2870</v>
      </c>
      <c r="C747" s="2" t="s">
        <v>61</v>
      </c>
      <c r="D747" s="27">
        <v>45946</v>
      </c>
      <c r="E747" s="2"/>
      <c r="F747" s="2" t="s">
        <v>8</v>
      </c>
      <c r="G747" s="24" t="s">
        <v>95</v>
      </c>
    </row>
    <row r="748" spans="1:7" x14ac:dyDescent="0.2">
      <c r="A748" s="2" t="s">
        <v>2871</v>
      </c>
      <c r="B748" s="2" t="s">
        <v>2872</v>
      </c>
      <c r="C748" s="2" t="s">
        <v>61</v>
      </c>
      <c r="D748" s="27">
        <v>45960</v>
      </c>
      <c r="E748" s="2"/>
      <c r="F748" s="2" t="s">
        <v>8</v>
      </c>
      <c r="G748" s="24" t="s">
        <v>95</v>
      </c>
    </row>
    <row r="749" spans="1:7" x14ac:dyDescent="0.2">
      <c r="A749" s="2" t="s">
        <v>2873</v>
      </c>
      <c r="B749" s="2" t="s">
        <v>2874</v>
      </c>
      <c r="C749" s="2" t="s">
        <v>61</v>
      </c>
      <c r="D749" s="27">
        <v>45960</v>
      </c>
      <c r="E749" s="2"/>
      <c r="F749" s="2" t="s">
        <v>8</v>
      </c>
      <c r="G749" s="24" t="s">
        <v>3901</v>
      </c>
    </row>
    <row r="750" spans="1:7" x14ac:dyDescent="0.2">
      <c r="A750" s="2" t="s">
        <v>2875</v>
      </c>
      <c r="B750" s="2" t="s">
        <v>2876</v>
      </c>
      <c r="C750" s="2" t="s">
        <v>61</v>
      </c>
      <c r="D750" s="27">
        <v>45945</v>
      </c>
      <c r="E750" s="2"/>
      <c r="F750" s="2" t="s">
        <v>8</v>
      </c>
      <c r="G750" s="24" t="s">
        <v>95</v>
      </c>
    </row>
    <row r="751" spans="1:7" x14ac:dyDescent="0.2">
      <c r="A751" s="2" t="s">
        <v>2877</v>
      </c>
      <c r="B751" s="2" t="s">
        <v>2878</v>
      </c>
      <c r="C751" s="2" t="s">
        <v>61</v>
      </c>
      <c r="D751" s="27">
        <v>45958</v>
      </c>
      <c r="E751" s="2"/>
      <c r="F751" s="2" t="s">
        <v>8</v>
      </c>
      <c r="G751" s="24" t="s">
        <v>57</v>
      </c>
    </row>
    <row r="752" spans="1:7" x14ac:dyDescent="0.2">
      <c r="A752" s="2" t="s">
        <v>2879</v>
      </c>
      <c r="B752" s="2" t="s">
        <v>2880</v>
      </c>
      <c r="C752" s="2" t="s">
        <v>61</v>
      </c>
      <c r="D752" s="27">
        <v>45959</v>
      </c>
      <c r="E752" s="2"/>
      <c r="F752" s="2" t="s">
        <v>8</v>
      </c>
      <c r="G752" s="24" t="s">
        <v>58</v>
      </c>
    </row>
    <row r="753" spans="1:7" x14ac:dyDescent="0.2">
      <c r="A753" s="2" t="s">
        <v>2881</v>
      </c>
      <c r="B753" s="2" t="s">
        <v>2882</v>
      </c>
      <c r="C753" s="2" t="s">
        <v>61</v>
      </c>
      <c r="D753" s="27">
        <v>45946</v>
      </c>
      <c r="E753" s="2"/>
      <c r="F753" s="2" t="s">
        <v>8</v>
      </c>
      <c r="G753" s="24" t="s">
        <v>58</v>
      </c>
    </row>
    <row r="754" spans="1:7" x14ac:dyDescent="0.2">
      <c r="A754" s="2" t="s">
        <v>2883</v>
      </c>
      <c r="B754" s="2" t="s">
        <v>2884</v>
      </c>
      <c r="C754" s="2" t="s">
        <v>61</v>
      </c>
      <c r="D754" s="27">
        <v>45946</v>
      </c>
      <c r="E754" s="2"/>
      <c r="F754" s="2" t="s">
        <v>8</v>
      </c>
      <c r="G754" s="24" t="s">
        <v>58</v>
      </c>
    </row>
    <row r="755" spans="1:7" x14ac:dyDescent="0.2">
      <c r="A755" s="2" t="s">
        <v>2885</v>
      </c>
      <c r="B755" s="2" t="s">
        <v>2886</v>
      </c>
      <c r="C755" s="2" t="s">
        <v>61</v>
      </c>
      <c r="D755" s="27">
        <v>45957</v>
      </c>
      <c r="E755" s="2"/>
      <c r="F755" s="2" t="s">
        <v>8</v>
      </c>
      <c r="G755" s="24" t="s">
        <v>58</v>
      </c>
    </row>
    <row r="756" spans="1:7" x14ac:dyDescent="0.2">
      <c r="A756" s="2" t="s">
        <v>2887</v>
      </c>
      <c r="B756" s="2" t="s">
        <v>2888</v>
      </c>
      <c r="C756" s="2" t="s">
        <v>61</v>
      </c>
      <c r="D756" s="27">
        <v>45960</v>
      </c>
      <c r="E756" s="2"/>
      <c r="F756" s="2" t="s">
        <v>8</v>
      </c>
      <c r="G756" s="24" t="s">
        <v>58</v>
      </c>
    </row>
    <row r="757" spans="1:7" x14ac:dyDescent="0.2">
      <c r="A757" s="2" t="s">
        <v>2889</v>
      </c>
      <c r="B757" s="2" t="s">
        <v>2890</v>
      </c>
      <c r="C757" s="2" t="s">
        <v>61</v>
      </c>
      <c r="D757" s="27">
        <v>45946</v>
      </c>
      <c r="E757" s="2"/>
      <c r="F757" s="2" t="s">
        <v>8</v>
      </c>
      <c r="G757" s="24" t="s">
        <v>58</v>
      </c>
    </row>
    <row r="758" spans="1:7" x14ac:dyDescent="0.2">
      <c r="A758" s="2" t="s">
        <v>2891</v>
      </c>
      <c r="B758" s="2" t="s">
        <v>2892</v>
      </c>
      <c r="C758" s="2" t="s">
        <v>61</v>
      </c>
      <c r="D758" s="27">
        <v>45958</v>
      </c>
      <c r="E758" s="2"/>
      <c r="F758" s="2" t="s">
        <v>8</v>
      </c>
      <c r="G758" s="24" t="s">
        <v>58</v>
      </c>
    </row>
    <row r="759" spans="1:7" x14ac:dyDescent="0.2">
      <c r="A759" s="2" t="s">
        <v>2893</v>
      </c>
      <c r="B759" s="2" t="s">
        <v>2894</v>
      </c>
      <c r="C759" s="2" t="s">
        <v>61</v>
      </c>
      <c r="D759" s="27">
        <v>45946</v>
      </c>
      <c r="E759" s="2"/>
      <c r="F759" s="2" t="s">
        <v>8</v>
      </c>
      <c r="G759" s="24" t="s">
        <v>58</v>
      </c>
    </row>
    <row r="760" spans="1:7" x14ac:dyDescent="0.2">
      <c r="A760" s="2" t="s">
        <v>2895</v>
      </c>
      <c r="B760" s="2" t="s">
        <v>2896</v>
      </c>
      <c r="C760" s="2" t="s">
        <v>61</v>
      </c>
      <c r="D760" s="27">
        <v>45959</v>
      </c>
      <c r="E760" s="2"/>
      <c r="F760" s="2" t="s">
        <v>8</v>
      </c>
      <c r="G760" s="24" t="s">
        <v>58</v>
      </c>
    </row>
    <row r="761" spans="1:7" x14ac:dyDescent="0.2">
      <c r="A761" s="2" t="s">
        <v>2897</v>
      </c>
      <c r="B761" s="2" t="s">
        <v>2898</v>
      </c>
      <c r="C761" s="2" t="s">
        <v>61</v>
      </c>
      <c r="D761" s="27">
        <v>45933</v>
      </c>
      <c r="E761" s="2"/>
      <c r="F761" s="2" t="s">
        <v>8</v>
      </c>
      <c r="G761" s="24" t="s">
        <v>58</v>
      </c>
    </row>
    <row r="762" spans="1:7" x14ac:dyDescent="0.2">
      <c r="A762" s="2" t="s">
        <v>2899</v>
      </c>
      <c r="B762" s="2" t="s">
        <v>2900</v>
      </c>
      <c r="C762" s="2" t="s">
        <v>61</v>
      </c>
      <c r="D762" s="27">
        <v>45958</v>
      </c>
      <c r="E762" s="2"/>
      <c r="F762" s="2" t="s">
        <v>8</v>
      </c>
      <c r="G762" s="24" t="s">
        <v>58</v>
      </c>
    </row>
    <row r="763" spans="1:7" x14ac:dyDescent="0.2">
      <c r="A763" s="2" t="s">
        <v>2901</v>
      </c>
      <c r="B763" s="2" t="s">
        <v>2902</v>
      </c>
      <c r="C763" s="2" t="s">
        <v>61</v>
      </c>
      <c r="D763" s="27">
        <v>45952</v>
      </c>
      <c r="E763" s="2"/>
      <c r="F763" s="2" t="s">
        <v>8</v>
      </c>
      <c r="G763" s="24" t="s">
        <v>58</v>
      </c>
    </row>
    <row r="764" spans="1:7" x14ac:dyDescent="0.2">
      <c r="A764" s="2" t="s">
        <v>2903</v>
      </c>
      <c r="B764" s="2" t="s">
        <v>2904</v>
      </c>
      <c r="C764" s="2" t="s">
        <v>61</v>
      </c>
      <c r="D764" s="27">
        <v>45940</v>
      </c>
      <c r="E764" s="2"/>
      <c r="F764" s="2" t="s">
        <v>8</v>
      </c>
      <c r="G764" s="24" t="s">
        <v>58</v>
      </c>
    </row>
    <row r="765" spans="1:7" x14ac:dyDescent="0.2">
      <c r="A765" s="2" t="s">
        <v>2905</v>
      </c>
      <c r="B765" s="2" t="s">
        <v>2906</v>
      </c>
      <c r="C765" s="2" t="s">
        <v>61</v>
      </c>
      <c r="D765" s="27">
        <v>45945</v>
      </c>
      <c r="E765" s="2"/>
      <c r="F765" s="2" t="s">
        <v>8</v>
      </c>
      <c r="G765" s="24" t="s">
        <v>58</v>
      </c>
    </row>
    <row r="766" spans="1:7" x14ac:dyDescent="0.2">
      <c r="A766" s="2" t="s">
        <v>2907</v>
      </c>
      <c r="B766" s="2" t="s">
        <v>2908</v>
      </c>
      <c r="C766" s="2" t="s">
        <v>61</v>
      </c>
      <c r="D766" s="27">
        <v>45959</v>
      </c>
      <c r="E766" s="2"/>
      <c r="F766" s="2" t="s">
        <v>8</v>
      </c>
      <c r="G766" s="24" t="s">
        <v>58</v>
      </c>
    </row>
    <row r="767" spans="1:7" x14ac:dyDescent="0.2">
      <c r="A767" s="2" t="s">
        <v>2909</v>
      </c>
      <c r="B767" s="2" t="s">
        <v>2910</v>
      </c>
      <c r="C767" s="2" t="s">
        <v>61</v>
      </c>
      <c r="D767" s="27">
        <v>45960</v>
      </c>
      <c r="E767" s="2"/>
      <c r="F767" s="2" t="s">
        <v>8</v>
      </c>
      <c r="G767" s="24" t="s">
        <v>58</v>
      </c>
    </row>
    <row r="768" spans="1:7" x14ac:dyDescent="0.2">
      <c r="A768" s="2" t="s">
        <v>2911</v>
      </c>
      <c r="B768" s="2" t="s">
        <v>2912</v>
      </c>
      <c r="C768" s="2" t="s">
        <v>61</v>
      </c>
      <c r="D768" s="27">
        <v>45951</v>
      </c>
      <c r="E768" s="2"/>
      <c r="F768" s="2" t="s">
        <v>8</v>
      </c>
      <c r="G768" s="24" t="s">
        <v>58</v>
      </c>
    </row>
    <row r="769" spans="1:7" x14ac:dyDescent="0.2">
      <c r="A769" s="2" t="s">
        <v>2913</v>
      </c>
      <c r="B769" s="2" t="s">
        <v>2914</v>
      </c>
      <c r="C769" s="2" t="s">
        <v>61</v>
      </c>
      <c r="D769" s="27">
        <v>45955</v>
      </c>
      <c r="E769" s="2"/>
      <c r="F769" s="2" t="s">
        <v>8</v>
      </c>
      <c r="G769" s="24" t="s">
        <v>58</v>
      </c>
    </row>
    <row r="770" spans="1:7" x14ac:dyDescent="0.2">
      <c r="A770" s="2" t="s">
        <v>2915</v>
      </c>
      <c r="B770" s="2" t="s">
        <v>2916</v>
      </c>
      <c r="C770" s="2" t="s">
        <v>61</v>
      </c>
      <c r="D770" s="27">
        <v>45947</v>
      </c>
      <c r="E770" s="2"/>
      <c r="F770" s="2" t="s">
        <v>8</v>
      </c>
      <c r="G770" s="24" t="s">
        <v>58</v>
      </c>
    </row>
    <row r="771" spans="1:7" x14ac:dyDescent="0.2">
      <c r="A771" s="2" t="s">
        <v>2917</v>
      </c>
      <c r="B771" s="2" t="s">
        <v>2918</v>
      </c>
      <c r="C771" s="2" t="s">
        <v>61</v>
      </c>
      <c r="D771" s="27">
        <v>45947</v>
      </c>
      <c r="E771" s="2"/>
      <c r="F771" s="2" t="s">
        <v>8</v>
      </c>
      <c r="G771" s="24" t="s">
        <v>58</v>
      </c>
    </row>
    <row r="772" spans="1:7" x14ac:dyDescent="0.2">
      <c r="A772" s="2" t="s">
        <v>2919</v>
      </c>
      <c r="B772" s="2" t="s">
        <v>2920</v>
      </c>
      <c r="C772" s="2" t="s">
        <v>61</v>
      </c>
      <c r="D772" s="27">
        <v>45958</v>
      </c>
      <c r="E772" s="2"/>
      <c r="F772" s="2" t="s">
        <v>8</v>
      </c>
      <c r="G772" s="24" t="s">
        <v>58</v>
      </c>
    </row>
    <row r="773" spans="1:7" x14ac:dyDescent="0.2">
      <c r="A773" s="2" t="s">
        <v>2921</v>
      </c>
      <c r="B773" s="2" t="s">
        <v>2922</v>
      </c>
      <c r="C773" s="2" t="s">
        <v>61</v>
      </c>
      <c r="D773" s="27">
        <v>45960</v>
      </c>
      <c r="E773" s="2"/>
      <c r="F773" s="2" t="s">
        <v>8</v>
      </c>
      <c r="G773" s="24" t="s">
        <v>58</v>
      </c>
    </row>
    <row r="774" spans="1:7" x14ac:dyDescent="0.2">
      <c r="A774" s="2" t="s">
        <v>2923</v>
      </c>
      <c r="B774" s="2" t="s">
        <v>2924</v>
      </c>
      <c r="C774" s="2" t="s">
        <v>61</v>
      </c>
      <c r="D774" s="27">
        <v>45936</v>
      </c>
      <c r="E774" s="2"/>
      <c r="F774" s="2" t="s">
        <v>8</v>
      </c>
      <c r="G774" s="24" t="s">
        <v>58</v>
      </c>
    </row>
    <row r="775" spans="1:7" x14ac:dyDescent="0.2">
      <c r="A775" s="2" t="s">
        <v>2925</v>
      </c>
      <c r="B775" s="2" t="s">
        <v>2926</v>
      </c>
      <c r="C775" s="2" t="s">
        <v>61</v>
      </c>
      <c r="D775" s="27">
        <v>45946</v>
      </c>
      <c r="E775" s="2"/>
      <c r="F775" s="2" t="s">
        <v>8</v>
      </c>
      <c r="G775" s="24" t="s">
        <v>58</v>
      </c>
    </row>
    <row r="776" spans="1:7" x14ac:dyDescent="0.2">
      <c r="A776" s="2" t="s">
        <v>2927</v>
      </c>
      <c r="B776" s="2" t="s">
        <v>2928</v>
      </c>
      <c r="C776" s="2" t="s">
        <v>61</v>
      </c>
      <c r="D776" s="27">
        <v>45952</v>
      </c>
      <c r="E776" s="2"/>
      <c r="F776" s="2" t="s">
        <v>8</v>
      </c>
      <c r="G776" s="24" t="s">
        <v>58</v>
      </c>
    </row>
    <row r="777" spans="1:7" x14ac:dyDescent="0.2">
      <c r="A777" s="2" t="s">
        <v>2929</v>
      </c>
      <c r="B777" s="2" t="s">
        <v>2930</v>
      </c>
      <c r="C777" s="2" t="s">
        <v>61</v>
      </c>
      <c r="D777" s="27">
        <v>45947</v>
      </c>
      <c r="E777" s="2"/>
      <c r="F777" s="2" t="s">
        <v>8</v>
      </c>
      <c r="G777" s="24" t="s">
        <v>58</v>
      </c>
    </row>
    <row r="778" spans="1:7" x14ac:dyDescent="0.2">
      <c r="A778" s="2" t="s">
        <v>2931</v>
      </c>
      <c r="B778" s="2" t="s">
        <v>2932</v>
      </c>
      <c r="C778" s="2" t="s">
        <v>61</v>
      </c>
      <c r="D778" s="27">
        <v>45959</v>
      </c>
      <c r="E778" s="2"/>
      <c r="F778" s="2" t="s">
        <v>8</v>
      </c>
      <c r="G778" s="24" t="s">
        <v>58</v>
      </c>
    </row>
    <row r="779" spans="1:7" x14ac:dyDescent="0.2">
      <c r="A779" s="2" t="s">
        <v>2933</v>
      </c>
      <c r="B779" s="2" t="s">
        <v>2934</v>
      </c>
      <c r="C779" s="2" t="s">
        <v>61</v>
      </c>
      <c r="D779" s="27">
        <v>45950</v>
      </c>
      <c r="E779" s="2"/>
      <c r="F779" s="2" t="s">
        <v>8</v>
      </c>
      <c r="G779" s="24" t="s">
        <v>58</v>
      </c>
    </row>
    <row r="780" spans="1:7" x14ac:dyDescent="0.2">
      <c r="A780" s="2" t="s">
        <v>2935</v>
      </c>
      <c r="B780" s="2" t="s">
        <v>2936</v>
      </c>
      <c r="C780" s="2" t="s">
        <v>61</v>
      </c>
      <c r="D780" s="27">
        <v>45959</v>
      </c>
      <c r="E780" s="2"/>
      <c r="F780" s="2" t="s">
        <v>8</v>
      </c>
      <c r="G780" s="24" t="s">
        <v>58</v>
      </c>
    </row>
    <row r="781" spans="1:7" x14ac:dyDescent="0.2">
      <c r="A781" s="2" t="s">
        <v>2937</v>
      </c>
      <c r="B781" s="2" t="s">
        <v>2938</v>
      </c>
      <c r="C781" s="2" t="s">
        <v>61</v>
      </c>
      <c r="D781" s="27">
        <v>45951</v>
      </c>
      <c r="E781" s="2"/>
      <c r="F781" s="2" t="s">
        <v>8</v>
      </c>
      <c r="G781" s="24" t="s">
        <v>58</v>
      </c>
    </row>
    <row r="782" spans="1:7" x14ac:dyDescent="0.2">
      <c r="A782" s="2" t="s">
        <v>2939</v>
      </c>
      <c r="B782" s="2" t="s">
        <v>2940</v>
      </c>
      <c r="C782" s="2" t="s">
        <v>61</v>
      </c>
      <c r="D782" s="27">
        <v>45951</v>
      </c>
      <c r="E782" s="2"/>
      <c r="F782" s="2" t="s">
        <v>8</v>
      </c>
      <c r="G782" s="24" t="s">
        <v>58</v>
      </c>
    </row>
    <row r="783" spans="1:7" x14ac:dyDescent="0.2">
      <c r="A783" s="2" t="s">
        <v>2941</v>
      </c>
      <c r="B783" s="2" t="s">
        <v>2942</v>
      </c>
      <c r="C783" s="2" t="s">
        <v>61</v>
      </c>
      <c r="D783" s="27">
        <v>45959</v>
      </c>
      <c r="E783" s="2"/>
      <c r="F783" s="2" t="s">
        <v>8</v>
      </c>
      <c r="G783" s="24" t="s">
        <v>79</v>
      </c>
    </row>
    <row r="784" spans="1:7" x14ac:dyDescent="0.2">
      <c r="A784" s="2" t="s">
        <v>2943</v>
      </c>
      <c r="B784" s="2" t="s">
        <v>2944</v>
      </c>
      <c r="C784" s="2" t="s">
        <v>61</v>
      </c>
      <c r="D784" s="27">
        <v>45959</v>
      </c>
      <c r="E784" s="2"/>
      <c r="F784" s="2" t="s">
        <v>8</v>
      </c>
      <c r="G784" s="24" t="s">
        <v>58</v>
      </c>
    </row>
    <row r="785" spans="1:7" x14ac:dyDescent="0.2">
      <c r="A785" s="2" t="s">
        <v>2945</v>
      </c>
      <c r="B785" s="2" t="s">
        <v>2946</v>
      </c>
      <c r="C785" s="2" t="s">
        <v>61</v>
      </c>
      <c r="D785" s="27">
        <v>45957</v>
      </c>
      <c r="E785" s="2"/>
      <c r="F785" s="2" t="s">
        <v>8</v>
      </c>
      <c r="G785" s="24" t="s">
        <v>58</v>
      </c>
    </row>
    <row r="786" spans="1:7" x14ac:dyDescent="0.2">
      <c r="A786" s="2" t="s">
        <v>2947</v>
      </c>
      <c r="B786" s="2" t="s">
        <v>2948</v>
      </c>
      <c r="C786" s="2" t="s">
        <v>61</v>
      </c>
      <c r="D786" s="27">
        <v>45959</v>
      </c>
      <c r="E786" s="2"/>
      <c r="F786" s="2" t="s">
        <v>8</v>
      </c>
      <c r="G786" s="24" t="s">
        <v>58</v>
      </c>
    </row>
    <row r="787" spans="1:7" x14ac:dyDescent="0.2">
      <c r="A787" s="2" t="s">
        <v>2949</v>
      </c>
      <c r="B787" s="2" t="s">
        <v>2950</v>
      </c>
      <c r="C787" s="2" t="s">
        <v>61</v>
      </c>
      <c r="D787" s="27">
        <v>45953</v>
      </c>
      <c r="E787" s="2"/>
      <c r="F787" s="2" t="s">
        <v>8</v>
      </c>
      <c r="G787" s="24" t="s">
        <v>58</v>
      </c>
    </row>
    <row r="788" spans="1:7" x14ac:dyDescent="0.2">
      <c r="A788" s="2" t="s">
        <v>2951</v>
      </c>
      <c r="B788" s="2" t="s">
        <v>2952</v>
      </c>
      <c r="C788" s="2" t="s">
        <v>61</v>
      </c>
      <c r="D788" s="27">
        <v>45951</v>
      </c>
      <c r="E788" s="2"/>
      <c r="F788" s="2" t="s">
        <v>8</v>
      </c>
      <c r="G788" s="24" t="s">
        <v>58</v>
      </c>
    </row>
    <row r="789" spans="1:7" x14ac:dyDescent="0.2">
      <c r="A789" s="2" t="s">
        <v>2953</v>
      </c>
      <c r="B789" s="2" t="s">
        <v>2954</v>
      </c>
      <c r="C789" s="2" t="s">
        <v>61</v>
      </c>
      <c r="D789" s="27">
        <v>45958</v>
      </c>
      <c r="E789" s="2"/>
      <c r="F789" s="2" t="s">
        <v>8</v>
      </c>
      <c r="G789" s="24" t="s">
        <v>58</v>
      </c>
    </row>
    <row r="790" spans="1:7" x14ac:dyDescent="0.2">
      <c r="A790" s="2" t="s">
        <v>2955</v>
      </c>
      <c r="B790" s="2" t="s">
        <v>2956</v>
      </c>
      <c r="C790" s="2" t="s">
        <v>61</v>
      </c>
      <c r="D790" s="27">
        <v>45957</v>
      </c>
      <c r="E790" s="2"/>
      <c r="F790" s="2" t="s">
        <v>8</v>
      </c>
      <c r="G790" s="24" t="s">
        <v>58</v>
      </c>
    </row>
    <row r="791" spans="1:7" x14ac:dyDescent="0.2">
      <c r="A791" s="2" t="s">
        <v>2957</v>
      </c>
      <c r="B791" s="2" t="s">
        <v>2958</v>
      </c>
      <c r="C791" s="2" t="s">
        <v>61</v>
      </c>
      <c r="D791" s="27">
        <v>45958</v>
      </c>
      <c r="E791" s="2"/>
      <c r="F791" s="2" t="s">
        <v>8</v>
      </c>
      <c r="G791" s="24" t="s">
        <v>58</v>
      </c>
    </row>
    <row r="792" spans="1:7" x14ac:dyDescent="0.2">
      <c r="A792" s="2" t="s">
        <v>2959</v>
      </c>
      <c r="B792" s="2" t="s">
        <v>2960</v>
      </c>
      <c r="C792" s="2" t="s">
        <v>61</v>
      </c>
      <c r="D792" s="27">
        <v>45936</v>
      </c>
      <c r="E792" s="2"/>
      <c r="F792" s="2" t="s">
        <v>8</v>
      </c>
      <c r="G792" s="24" t="s">
        <v>58</v>
      </c>
    </row>
    <row r="793" spans="1:7" x14ac:dyDescent="0.2">
      <c r="A793" s="2" t="s">
        <v>2961</v>
      </c>
      <c r="B793" s="2" t="s">
        <v>2962</v>
      </c>
      <c r="C793" s="2" t="s">
        <v>61</v>
      </c>
      <c r="D793" s="27">
        <v>45960</v>
      </c>
      <c r="E793" s="2"/>
      <c r="F793" s="2" t="s">
        <v>8</v>
      </c>
      <c r="G793" s="24" t="s">
        <v>58</v>
      </c>
    </row>
    <row r="794" spans="1:7" x14ac:dyDescent="0.2">
      <c r="A794" s="2" t="s">
        <v>2963</v>
      </c>
      <c r="B794" s="2" t="s">
        <v>2964</v>
      </c>
      <c r="C794" s="2" t="s">
        <v>61</v>
      </c>
      <c r="D794" s="27">
        <v>45958</v>
      </c>
      <c r="E794" s="2"/>
      <c r="F794" s="2" t="s">
        <v>8</v>
      </c>
      <c r="G794" s="24" t="s">
        <v>58</v>
      </c>
    </row>
    <row r="795" spans="1:7" x14ac:dyDescent="0.2">
      <c r="A795" s="2" t="s">
        <v>2965</v>
      </c>
      <c r="B795" s="2" t="s">
        <v>2966</v>
      </c>
      <c r="C795" s="2" t="s">
        <v>61</v>
      </c>
      <c r="D795" s="27">
        <v>45959</v>
      </c>
      <c r="E795" s="2"/>
      <c r="F795" s="2" t="s">
        <v>8</v>
      </c>
      <c r="G795" s="24" t="s">
        <v>58</v>
      </c>
    </row>
    <row r="796" spans="1:7" x14ac:dyDescent="0.2">
      <c r="A796" s="2" t="s">
        <v>2967</v>
      </c>
      <c r="B796" s="2" t="s">
        <v>2968</v>
      </c>
      <c r="C796" s="2" t="s">
        <v>61</v>
      </c>
      <c r="D796" s="27">
        <v>45960</v>
      </c>
      <c r="E796" s="2"/>
      <c r="F796" s="2" t="s">
        <v>8</v>
      </c>
      <c r="G796" s="24" t="s">
        <v>593</v>
      </c>
    </row>
    <row r="797" spans="1:7" x14ac:dyDescent="0.2">
      <c r="A797" s="2" t="s">
        <v>2969</v>
      </c>
      <c r="B797" s="2" t="s">
        <v>2970</v>
      </c>
      <c r="C797" s="2" t="s">
        <v>61</v>
      </c>
      <c r="D797" s="27">
        <v>45945</v>
      </c>
      <c r="E797" s="2"/>
      <c r="F797" s="2" t="s">
        <v>8</v>
      </c>
      <c r="G797" s="24" t="s">
        <v>58</v>
      </c>
    </row>
    <row r="798" spans="1:7" x14ac:dyDescent="0.2">
      <c r="A798" s="2" t="s">
        <v>2971</v>
      </c>
      <c r="B798" s="2" t="s">
        <v>2972</v>
      </c>
      <c r="C798" s="2" t="s">
        <v>61</v>
      </c>
      <c r="D798" s="27">
        <v>45961</v>
      </c>
      <c r="E798" s="2"/>
      <c r="F798" s="2" t="s">
        <v>8</v>
      </c>
      <c r="G798" s="24" t="s">
        <v>58</v>
      </c>
    </row>
    <row r="799" spans="1:7" x14ac:dyDescent="0.2">
      <c r="A799" s="2" t="s">
        <v>2973</v>
      </c>
      <c r="B799" s="2" t="s">
        <v>2974</v>
      </c>
      <c r="C799" s="2" t="s">
        <v>61</v>
      </c>
      <c r="D799" s="27">
        <v>45954</v>
      </c>
      <c r="E799" s="2"/>
      <c r="F799" s="2" t="s">
        <v>8</v>
      </c>
      <c r="G799" s="24" t="s">
        <v>58</v>
      </c>
    </row>
    <row r="800" spans="1:7" x14ac:dyDescent="0.2">
      <c r="A800" s="2" t="s">
        <v>2975</v>
      </c>
      <c r="B800" s="2" t="s">
        <v>2976</v>
      </c>
      <c r="C800" s="2" t="s">
        <v>61</v>
      </c>
      <c r="D800" s="27">
        <v>45945</v>
      </c>
      <c r="E800" s="2"/>
      <c r="F800" s="2" t="s">
        <v>8</v>
      </c>
      <c r="G800" s="24" t="s">
        <v>58</v>
      </c>
    </row>
    <row r="801" spans="1:7" x14ac:dyDescent="0.2">
      <c r="A801" s="2" t="s">
        <v>2977</v>
      </c>
      <c r="B801" s="2" t="s">
        <v>2978</v>
      </c>
      <c r="C801" s="2" t="s">
        <v>61</v>
      </c>
      <c r="D801" s="27">
        <v>45937</v>
      </c>
      <c r="E801" s="2"/>
      <c r="F801" s="2" t="s">
        <v>8</v>
      </c>
      <c r="G801" s="24" t="s">
        <v>58</v>
      </c>
    </row>
    <row r="802" spans="1:7" x14ac:dyDescent="0.2">
      <c r="A802" s="2" t="s">
        <v>2979</v>
      </c>
      <c r="B802" s="2" t="s">
        <v>2980</v>
      </c>
      <c r="C802" s="2" t="s">
        <v>61</v>
      </c>
      <c r="D802" s="27">
        <v>45961</v>
      </c>
      <c r="E802" s="2"/>
      <c r="F802" s="2" t="s">
        <v>8</v>
      </c>
      <c r="G802" s="24" t="s">
        <v>58</v>
      </c>
    </row>
    <row r="803" spans="1:7" x14ac:dyDescent="0.2">
      <c r="A803" s="2" t="s">
        <v>2981</v>
      </c>
      <c r="B803" s="2" t="s">
        <v>2982</v>
      </c>
      <c r="C803" s="2" t="s">
        <v>61</v>
      </c>
      <c r="D803" s="27">
        <v>45959</v>
      </c>
      <c r="E803" s="2"/>
      <c r="F803" s="2" t="s">
        <v>8</v>
      </c>
      <c r="G803" s="24" t="s">
        <v>58</v>
      </c>
    </row>
    <row r="804" spans="1:7" x14ac:dyDescent="0.2">
      <c r="A804" s="2" t="s">
        <v>2983</v>
      </c>
      <c r="B804" s="2" t="s">
        <v>2984</v>
      </c>
      <c r="C804" s="2" t="s">
        <v>61</v>
      </c>
      <c r="D804" s="27">
        <v>45953</v>
      </c>
      <c r="E804" s="2"/>
      <c r="F804" s="2" t="s">
        <v>8</v>
      </c>
      <c r="G804" s="24" t="s">
        <v>58</v>
      </c>
    </row>
    <row r="805" spans="1:7" x14ac:dyDescent="0.2">
      <c r="A805" s="2" t="s">
        <v>2985</v>
      </c>
      <c r="B805" s="2" t="s">
        <v>2986</v>
      </c>
      <c r="C805" s="2" t="s">
        <v>61</v>
      </c>
      <c r="D805" s="27">
        <v>45933</v>
      </c>
      <c r="E805" s="2"/>
      <c r="F805" s="2" t="s">
        <v>8</v>
      </c>
      <c r="G805" s="24" t="s">
        <v>58</v>
      </c>
    </row>
    <row r="806" spans="1:7" x14ac:dyDescent="0.2">
      <c r="A806" s="2" t="s">
        <v>2987</v>
      </c>
      <c r="B806" s="2" t="s">
        <v>2988</v>
      </c>
      <c r="C806" s="2" t="s">
        <v>61</v>
      </c>
      <c r="D806" s="27">
        <v>45961</v>
      </c>
      <c r="E806" s="2"/>
      <c r="F806" s="2" t="s">
        <v>8</v>
      </c>
      <c r="G806" s="24" t="s">
        <v>58</v>
      </c>
    </row>
    <row r="807" spans="1:7" x14ac:dyDescent="0.2">
      <c r="A807" s="2" t="s">
        <v>2989</v>
      </c>
      <c r="B807" s="2" t="s">
        <v>2990</v>
      </c>
      <c r="C807" s="2" t="s">
        <v>61</v>
      </c>
      <c r="D807" s="27">
        <v>45959</v>
      </c>
      <c r="E807" s="2"/>
      <c r="F807" s="2" t="s">
        <v>8</v>
      </c>
      <c r="G807" s="24" t="s">
        <v>58</v>
      </c>
    </row>
    <row r="808" spans="1:7" x14ac:dyDescent="0.2">
      <c r="A808" s="2" t="s">
        <v>2991</v>
      </c>
      <c r="B808" s="2" t="s">
        <v>2992</v>
      </c>
      <c r="C808" s="2" t="s">
        <v>61</v>
      </c>
      <c r="D808" s="27">
        <v>45946</v>
      </c>
      <c r="E808" s="2"/>
      <c r="F808" s="2" t="s">
        <v>8</v>
      </c>
      <c r="G808" s="24" t="s">
        <v>58</v>
      </c>
    </row>
    <row r="809" spans="1:7" x14ac:dyDescent="0.2">
      <c r="A809" s="2" t="s">
        <v>2993</v>
      </c>
      <c r="B809" s="2" t="s">
        <v>2994</v>
      </c>
      <c r="C809" s="2" t="s">
        <v>61</v>
      </c>
      <c r="D809" s="27">
        <v>45953</v>
      </c>
      <c r="E809" s="2"/>
      <c r="F809" s="2" t="s">
        <v>8</v>
      </c>
      <c r="G809" s="24" t="s">
        <v>58</v>
      </c>
    </row>
    <row r="810" spans="1:7" x14ac:dyDescent="0.2">
      <c r="A810" s="2" t="s">
        <v>2995</v>
      </c>
      <c r="B810" s="2" t="s">
        <v>2996</v>
      </c>
      <c r="C810" s="2" t="s">
        <v>61</v>
      </c>
      <c r="D810" s="27">
        <v>45961</v>
      </c>
      <c r="E810" s="2"/>
      <c r="F810" s="2" t="s">
        <v>8</v>
      </c>
      <c r="G810" s="24" t="s">
        <v>58</v>
      </c>
    </row>
    <row r="811" spans="1:7" x14ac:dyDescent="0.2">
      <c r="A811" s="2" t="s">
        <v>2997</v>
      </c>
      <c r="B811" s="2" t="s">
        <v>2998</v>
      </c>
      <c r="C811" s="2" t="s">
        <v>61</v>
      </c>
      <c r="D811" s="27">
        <v>45960</v>
      </c>
      <c r="E811" s="2"/>
      <c r="F811" s="2" t="s">
        <v>8</v>
      </c>
      <c r="G811" s="24" t="s">
        <v>58</v>
      </c>
    </row>
    <row r="812" spans="1:7" x14ac:dyDescent="0.2">
      <c r="A812" s="2" t="s">
        <v>2999</v>
      </c>
      <c r="B812" s="2" t="s">
        <v>3000</v>
      </c>
      <c r="C812" s="2" t="s">
        <v>61</v>
      </c>
      <c r="D812" s="27">
        <v>45954</v>
      </c>
      <c r="E812" s="2"/>
      <c r="F812" s="2" t="s">
        <v>8</v>
      </c>
      <c r="G812" s="24" t="s">
        <v>58</v>
      </c>
    </row>
    <row r="813" spans="1:7" x14ac:dyDescent="0.2">
      <c r="A813" s="2" t="s">
        <v>3001</v>
      </c>
      <c r="B813" s="2" t="s">
        <v>3002</v>
      </c>
      <c r="C813" s="2" t="s">
        <v>61</v>
      </c>
      <c r="D813" s="27">
        <v>45957</v>
      </c>
      <c r="E813" s="2"/>
      <c r="F813" s="2" t="s">
        <v>8</v>
      </c>
      <c r="G813" s="24" t="s">
        <v>58</v>
      </c>
    </row>
    <row r="814" spans="1:7" x14ac:dyDescent="0.2">
      <c r="A814" s="2" t="s">
        <v>3003</v>
      </c>
      <c r="B814" s="2" t="s">
        <v>3004</v>
      </c>
      <c r="C814" s="2" t="s">
        <v>61</v>
      </c>
      <c r="D814" s="27">
        <v>45957</v>
      </c>
      <c r="E814" s="2"/>
      <c r="F814" s="2" t="s">
        <v>8</v>
      </c>
      <c r="G814" s="24" t="s">
        <v>58</v>
      </c>
    </row>
    <row r="815" spans="1:7" x14ac:dyDescent="0.2">
      <c r="A815" s="2" t="s">
        <v>3005</v>
      </c>
      <c r="B815" s="2" t="s">
        <v>3006</v>
      </c>
      <c r="C815" s="2" t="s">
        <v>61</v>
      </c>
      <c r="D815" s="27">
        <v>45947</v>
      </c>
      <c r="E815" s="2"/>
      <c r="F815" s="2" t="s">
        <v>8</v>
      </c>
      <c r="G815" s="24" t="s">
        <v>58</v>
      </c>
    </row>
    <row r="816" spans="1:7" x14ac:dyDescent="0.2">
      <c r="A816" s="2" t="s">
        <v>3007</v>
      </c>
      <c r="B816" s="2" t="s">
        <v>3008</v>
      </c>
      <c r="C816" s="2" t="s">
        <v>61</v>
      </c>
      <c r="D816" s="27">
        <v>45958</v>
      </c>
      <c r="E816" s="2"/>
      <c r="F816" s="2" t="s">
        <v>8</v>
      </c>
      <c r="G816" s="24" t="s">
        <v>58</v>
      </c>
    </row>
    <row r="817" spans="1:7" x14ac:dyDescent="0.2">
      <c r="A817" s="2" t="s">
        <v>3009</v>
      </c>
      <c r="B817" s="2" t="s">
        <v>3010</v>
      </c>
      <c r="C817" s="2" t="s">
        <v>61</v>
      </c>
      <c r="D817" s="27">
        <v>45943</v>
      </c>
      <c r="E817" s="2"/>
      <c r="F817" s="2" t="s">
        <v>8</v>
      </c>
      <c r="G817" s="24" t="s">
        <v>58</v>
      </c>
    </row>
    <row r="818" spans="1:7" x14ac:dyDescent="0.2">
      <c r="A818" s="2" t="s">
        <v>3011</v>
      </c>
      <c r="B818" s="2" t="s">
        <v>3012</v>
      </c>
      <c r="C818" s="2" t="s">
        <v>61</v>
      </c>
      <c r="D818" s="27">
        <v>45961</v>
      </c>
      <c r="E818" s="2"/>
      <c r="F818" s="2" t="s">
        <v>8</v>
      </c>
      <c r="G818" s="24" t="s">
        <v>58</v>
      </c>
    </row>
    <row r="819" spans="1:7" x14ac:dyDescent="0.2">
      <c r="A819" s="2" t="s">
        <v>3013</v>
      </c>
      <c r="B819" s="2" t="s">
        <v>3014</v>
      </c>
      <c r="C819" s="2" t="s">
        <v>61</v>
      </c>
      <c r="D819" s="27">
        <v>45960</v>
      </c>
      <c r="E819" s="2"/>
      <c r="F819" s="2" t="s">
        <v>8</v>
      </c>
      <c r="G819" s="24" t="s">
        <v>79</v>
      </c>
    </row>
    <row r="820" spans="1:7" x14ac:dyDescent="0.2">
      <c r="A820" s="2" t="s">
        <v>3015</v>
      </c>
      <c r="B820" s="2" t="s">
        <v>3016</v>
      </c>
      <c r="C820" s="2" t="s">
        <v>61</v>
      </c>
      <c r="D820" s="27">
        <v>45952</v>
      </c>
      <c r="E820" s="2"/>
      <c r="F820" s="2" t="s">
        <v>8</v>
      </c>
      <c r="G820" s="24" t="s">
        <v>58</v>
      </c>
    </row>
    <row r="821" spans="1:7" x14ac:dyDescent="0.2">
      <c r="A821" s="2" t="s">
        <v>3017</v>
      </c>
      <c r="B821" s="2" t="s">
        <v>3018</v>
      </c>
      <c r="C821" s="2" t="s">
        <v>61</v>
      </c>
      <c r="D821" s="27">
        <v>45933</v>
      </c>
      <c r="E821" s="2"/>
      <c r="F821" s="2" t="s">
        <v>8</v>
      </c>
      <c r="G821" s="24" t="s">
        <v>59</v>
      </c>
    </row>
    <row r="822" spans="1:7" x14ac:dyDescent="0.2">
      <c r="A822" s="2" t="s">
        <v>3019</v>
      </c>
      <c r="B822" s="2" t="s">
        <v>3020</v>
      </c>
      <c r="C822" s="2" t="s">
        <v>61</v>
      </c>
      <c r="D822" s="27">
        <v>45933</v>
      </c>
      <c r="E822" s="2"/>
      <c r="F822" s="2" t="s">
        <v>8</v>
      </c>
      <c r="G822" s="24" t="s">
        <v>59</v>
      </c>
    </row>
    <row r="823" spans="1:7" x14ac:dyDescent="0.2">
      <c r="A823" s="2" t="s">
        <v>3021</v>
      </c>
      <c r="B823" s="2" t="s">
        <v>3022</v>
      </c>
      <c r="C823" s="2" t="s">
        <v>61</v>
      </c>
      <c r="D823" s="27">
        <v>45946</v>
      </c>
      <c r="E823" s="2"/>
      <c r="F823" s="2" t="s">
        <v>8</v>
      </c>
      <c r="G823" s="24" t="s">
        <v>1369</v>
      </c>
    </row>
    <row r="824" spans="1:7" x14ac:dyDescent="0.2">
      <c r="A824" s="2" t="s">
        <v>3023</v>
      </c>
      <c r="B824" s="2" t="s">
        <v>3024</v>
      </c>
      <c r="C824" s="2" t="s">
        <v>61</v>
      </c>
      <c r="D824" s="27">
        <v>45954</v>
      </c>
      <c r="E824" s="2"/>
      <c r="F824" s="2" t="s">
        <v>8</v>
      </c>
      <c r="G824" s="24" t="s">
        <v>591</v>
      </c>
    </row>
    <row r="825" spans="1:7" x14ac:dyDescent="0.2">
      <c r="A825" s="2" t="s">
        <v>3025</v>
      </c>
      <c r="B825" s="2" t="s">
        <v>3026</v>
      </c>
      <c r="C825" s="2" t="s">
        <v>61</v>
      </c>
      <c r="D825" s="27">
        <v>45950</v>
      </c>
      <c r="E825" s="2"/>
      <c r="F825" s="2" t="s">
        <v>8</v>
      </c>
      <c r="G825" s="24" t="s">
        <v>591</v>
      </c>
    </row>
    <row r="826" spans="1:7" x14ac:dyDescent="0.2">
      <c r="A826" s="2" t="s">
        <v>3027</v>
      </c>
      <c r="B826" s="2" t="s">
        <v>3028</v>
      </c>
      <c r="C826" s="2" t="s">
        <v>61</v>
      </c>
      <c r="D826" s="27">
        <v>45954</v>
      </c>
      <c r="E826" s="2"/>
      <c r="F826" s="2" t="s">
        <v>8</v>
      </c>
      <c r="G826" s="24" t="s">
        <v>591</v>
      </c>
    </row>
    <row r="827" spans="1:7" x14ac:dyDescent="0.2">
      <c r="A827" s="2" t="s">
        <v>3029</v>
      </c>
      <c r="B827" s="2" t="s">
        <v>3030</v>
      </c>
      <c r="C827" s="2" t="s">
        <v>61</v>
      </c>
      <c r="D827" s="27">
        <v>45947</v>
      </c>
      <c r="E827" s="2"/>
      <c r="F827" s="2" t="s">
        <v>8</v>
      </c>
      <c r="G827" s="24" t="s">
        <v>591</v>
      </c>
    </row>
    <row r="828" spans="1:7" x14ac:dyDescent="0.2">
      <c r="A828" s="2" t="s">
        <v>3031</v>
      </c>
      <c r="B828" s="2" t="s">
        <v>3032</v>
      </c>
      <c r="C828" s="2" t="s">
        <v>61</v>
      </c>
      <c r="D828" s="27">
        <v>45937</v>
      </c>
      <c r="E828" s="2"/>
      <c r="F828" s="2" t="s">
        <v>8</v>
      </c>
      <c r="G828" s="24" t="s">
        <v>591</v>
      </c>
    </row>
    <row r="829" spans="1:7" x14ac:dyDescent="0.2">
      <c r="A829" s="2" t="s">
        <v>3033</v>
      </c>
      <c r="B829" s="2" t="s">
        <v>3034</v>
      </c>
      <c r="C829" s="2" t="s">
        <v>61</v>
      </c>
      <c r="D829" s="27">
        <v>45950</v>
      </c>
      <c r="E829" s="2"/>
      <c r="F829" s="2" t="s">
        <v>8</v>
      </c>
      <c r="G829" s="24" t="s">
        <v>591</v>
      </c>
    </row>
    <row r="830" spans="1:7" x14ac:dyDescent="0.2">
      <c r="A830" s="2" t="s">
        <v>3035</v>
      </c>
      <c r="B830" s="2" t="s">
        <v>3036</v>
      </c>
      <c r="C830" s="2" t="s">
        <v>61</v>
      </c>
      <c r="D830" s="27">
        <v>45932</v>
      </c>
      <c r="E830" s="2"/>
      <c r="F830" s="2" t="s">
        <v>8</v>
      </c>
      <c r="G830" s="24" t="s">
        <v>591</v>
      </c>
    </row>
    <row r="831" spans="1:7" x14ac:dyDescent="0.2">
      <c r="A831" s="2" t="s">
        <v>3037</v>
      </c>
      <c r="B831" s="2" t="s">
        <v>3038</v>
      </c>
      <c r="C831" s="2" t="s">
        <v>61</v>
      </c>
      <c r="D831" s="27">
        <v>45944</v>
      </c>
      <c r="E831" s="2"/>
      <c r="F831" s="2" t="s">
        <v>8</v>
      </c>
      <c r="G831" s="24" t="s">
        <v>1369</v>
      </c>
    </row>
    <row r="832" spans="1:7" x14ac:dyDescent="0.2">
      <c r="A832" s="2" t="s">
        <v>3039</v>
      </c>
      <c r="B832" s="2" t="s">
        <v>3040</v>
      </c>
      <c r="C832" s="2" t="s">
        <v>61</v>
      </c>
      <c r="D832" s="27">
        <v>45936</v>
      </c>
      <c r="E832" s="2"/>
      <c r="F832" s="2" t="s">
        <v>8</v>
      </c>
      <c r="G832" s="24" t="s">
        <v>591</v>
      </c>
    </row>
    <row r="833" spans="1:7" x14ac:dyDescent="0.2">
      <c r="A833" s="2" t="s">
        <v>3041</v>
      </c>
      <c r="B833" s="2" t="s">
        <v>3042</v>
      </c>
      <c r="C833" s="2" t="s">
        <v>61</v>
      </c>
      <c r="D833" s="27">
        <v>45933</v>
      </c>
      <c r="E833" s="2"/>
      <c r="F833" s="2" t="s">
        <v>8</v>
      </c>
      <c r="G833" s="24" t="s">
        <v>591</v>
      </c>
    </row>
    <row r="834" spans="1:7" x14ac:dyDescent="0.2">
      <c r="A834" s="2" t="s">
        <v>3043</v>
      </c>
      <c r="B834" s="2" t="s">
        <v>3044</v>
      </c>
      <c r="C834" s="2" t="s">
        <v>61</v>
      </c>
      <c r="D834" s="27">
        <v>45946</v>
      </c>
      <c r="E834" s="2"/>
      <c r="F834" s="2" t="s">
        <v>8</v>
      </c>
      <c r="G834" s="24" t="s">
        <v>591</v>
      </c>
    </row>
    <row r="835" spans="1:7" x14ac:dyDescent="0.2">
      <c r="A835" s="2" t="s">
        <v>3045</v>
      </c>
      <c r="B835" s="2" t="s">
        <v>3046</v>
      </c>
      <c r="C835" s="2" t="s">
        <v>61</v>
      </c>
      <c r="D835" s="27">
        <v>45959</v>
      </c>
      <c r="E835" s="2"/>
      <c r="F835" s="2" t="s">
        <v>8</v>
      </c>
      <c r="G835" s="24" t="s">
        <v>591</v>
      </c>
    </row>
    <row r="836" spans="1:7" x14ac:dyDescent="0.2">
      <c r="A836" s="2" t="s">
        <v>3047</v>
      </c>
      <c r="B836" s="2" t="s">
        <v>3048</v>
      </c>
      <c r="C836" s="2" t="s">
        <v>61</v>
      </c>
      <c r="D836" s="27">
        <v>45941</v>
      </c>
      <c r="E836" s="2"/>
      <c r="F836" s="2" t="s">
        <v>8</v>
      </c>
      <c r="G836" s="24" t="s">
        <v>591</v>
      </c>
    </row>
    <row r="837" spans="1:7" x14ac:dyDescent="0.2">
      <c r="A837" s="2" t="s">
        <v>3049</v>
      </c>
      <c r="B837" s="2" t="s">
        <v>3050</v>
      </c>
      <c r="C837" s="2" t="s">
        <v>61</v>
      </c>
      <c r="D837" s="27">
        <v>45952</v>
      </c>
      <c r="E837" s="2"/>
      <c r="F837" s="2" t="s">
        <v>8</v>
      </c>
      <c r="G837" s="24" t="s">
        <v>591</v>
      </c>
    </row>
    <row r="838" spans="1:7" x14ac:dyDescent="0.2">
      <c r="A838" s="2" t="s">
        <v>3051</v>
      </c>
      <c r="B838" s="2" t="s">
        <v>3052</v>
      </c>
      <c r="C838" s="2" t="s">
        <v>61</v>
      </c>
      <c r="D838" s="27">
        <v>45961</v>
      </c>
      <c r="E838" s="2"/>
      <c r="F838" s="2" t="s">
        <v>8</v>
      </c>
      <c r="G838" s="24" t="s">
        <v>591</v>
      </c>
    </row>
    <row r="839" spans="1:7" x14ac:dyDescent="0.2">
      <c r="A839" s="2" t="s">
        <v>3053</v>
      </c>
      <c r="B839" s="2" t="s">
        <v>3054</v>
      </c>
      <c r="C839" s="2" t="s">
        <v>61</v>
      </c>
      <c r="D839" s="27">
        <v>45959</v>
      </c>
      <c r="E839" s="2"/>
      <c r="F839" s="2" t="s">
        <v>8</v>
      </c>
      <c r="G839" s="24" t="s">
        <v>591</v>
      </c>
    </row>
    <row r="840" spans="1:7" x14ac:dyDescent="0.2">
      <c r="A840" s="2" t="s">
        <v>3055</v>
      </c>
      <c r="B840" s="2" t="s">
        <v>3056</v>
      </c>
      <c r="C840" s="2" t="s">
        <v>61</v>
      </c>
      <c r="D840" s="27">
        <v>45931</v>
      </c>
      <c r="E840" s="2"/>
      <c r="F840" s="2" t="s">
        <v>8</v>
      </c>
      <c r="G840" s="24" t="s">
        <v>591</v>
      </c>
    </row>
    <row r="841" spans="1:7" x14ac:dyDescent="0.2">
      <c r="A841" s="2" t="s">
        <v>3057</v>
      </c>
      <c r="B841" s="2" t="s">
        <v>3058</v>
      </c>
      <c r="C841" s="2" t="s">
        <v>61</v>
      </c>
      <c r="D841" s="27">
        <v>45945</v>
      </c>
      <c r="E841" s="2"/>
      <c r="F841" s="2" t="s">
        <v>8</v>
      </c>
      <c r="G841" s="24" t="s">
        <v>1367</v>
      </c>
    </row>
    <row r="842" spans="1:7" x14ac:dyDescent="0.2">
      <c r="A842" s="2" t="s">
        <v>3059</v>
      </c>
      <c r="B842" s="2" t="s">
        <v>3060</v>
      </c>
      <c r="C842" s="2" t="s">
        <v>61</v>
      </c>
      <c r="D842" s="27">
        <v>45943</v>
      </c>
      <c r="E842" s="2"/>
      <c r="F842" s="2" t="s">
        <v>8</v>
      </c>
      <c r="G842" s="24" t="s">
        <v>1367</v>
      </c>
    </row>
    <row r="843" spans="1:7" x14ac:dyDescent="0.2">
      <c r="A843" s="2" t="s">
        <v>3061</v>
      </c>
      <c r="B843" s="2" t="s">
        <v>3062</v>
      </c>
      <c r="C843" s="2" t="s">
        <v>61</v>
      </c>
      <c r="D843" s="27">
        <v>45946</v>
      </c>
      <c r="E843" s="2"/>
      <c r="F843" s="2" t="s">
        <v>8</v>
      </c>
      <c r="G843" s="24" t="s">
        <v>591</v>
      </c>
    </row>
    <row r="844" spans="1:7" x14ac:dyDescent="0.2">
      <c r="A844" s="2" t="s">
        <v>3063</v>
      </c>
      <c r="B844" s="2" t="s">
        <v>3064</v>
      </c>
      <c r="C844" s="2" t="s">
        <v>61</v>
      </c>
      <c r="D844" s="27">
        <v>45935</v>
      </c>
      <c r="E844" s="2"/>
      <c r="F844" s="2" t="s">
        <v>8</v>
      </c>
      <c r="G844" s="24" t="s">
        <v>591</v>
      </c>
    </row>
    <row r="845" spans="1:7" x14ac:dyDescent="0.2">
      <c r="A845" s="2" t="s">
        <v>3065</v>
      </c>
      <c r="B845" s="2" t="s">
        <v>3066</v>
      </c>
      <c r="C845" s="2" t="s">
        <v>61</v>
      </c>
      <c r="D845" s="27">
        <v>45947</v>
      </c>
      <c r="E845" s="2"/>
      <c r="F845" s="2" t="s">
        <v>8</v>
      </c>
      <c r="G845" s="24" t="s">
        <v>591</v>
      </c>
    </row>
    <row r="846" spans="1:7" x14ac:dyDescent="0.2">
      <c r="A846" s="2" t="s">
        <v>3067</v>
      </c>
      <c r="B846" s="2" t="s">
        <v>3068</v>
      </c>
      <c r="C846" s="2" t="s">
        <v>61</v>
      </c>
      <c r="D846" s="27">
        <v>45950</v>
      </c>
      <c r="E846" s="2"/>
      <c r="F846" s="2" t="s">
        <v>8</v>
      </c>
      <c r="G846" s="24" t="s">
        <v>591</v>
      </c>
    </row>
    <row r="847" spans="1:7" x14ac:dyDescent="0.2">
      <c r="A847" s="2" t="s">
        <v>3069</v>
      </c>
      <c r="B847" s="2" t="s">
        <v>3070</v>
      </c>
      <c r="C847" s="2" t="s">
        <v>61</v>
      </c>
      <c r="D847" s="27">
        <v>45938</v>
      </c>
      <c r="E847" s="2"/>
      <c r="F847" s="2" t="s">
        <v>8</v>
      </c>
      <c r="G847" s="24" t="s">
        <v>591</v>
      </c>
    </row>
    <row r="848" spans="1:7" x14ac:dyDescent="0.2">
      <c r="A848" s="2" t="s">
        <v>3071</v>
      </c>
      <c r="B848" s="2" t="s">
        <v>3072</v>
      </c>
      <c r="C848" s="2" t="s">
        <v>61</v>
      </c>
      <c r="D848" s="27">
        <v>45958</v>
      </c>
      <c r="E848" s="2"/>
      <c r="F848" s="2" t="s">
        <v>8</v>
      </c>
      <c r="G848" s="24" t="s">
        <v>591</v>
      </c>
    </row>
    <row r="849" spans="1:7" x14ac:dyDescent="0.2">
      <c r="A849" s="2" t="s">
        <v>3073</v>
      </c>
      <c r="B849" s="2" t="s">
        <v>3074</v>
      </c>
      <c r="C849" s="2" t="s">
        <v>61</v>
      </c>
      <c r="D849" s="27">
        <v>45941</v>
      </c>
      <c r="E849" s="2"/>
      <c r="F849" s="2" t="s">
        <v>8</v>
      </c>
      <c r="G849" s="24" t="s">
        <v>95</v>
      </c>
    </row>
    <row r="850" spans="1:7" x14ac:dyDescent="0.2">
      <c r="A850" s="2" t="s">
        <v>3075</v>
      </c>
      <c r="B850" s="2" t="s">
        <v>3076</v>
      </c>
      <c r="C850" s="2" t="s">
        <v>61</v>
      </c>
      <c r="D850" s="27">
        <v>45939</v>
      </c>
      <c r="E850" s="2"/>
      <c r="F850" s="2" t="s">
        <v>8</v>
      </c>
      <c r="G850" s="24" t="s">
        <v>3901</v>
      </c>
    </row>
    <row r="851" spans="1:7" x14ac:dyDescent="0.2">
      <c r="A851" s="2" t="s">
        <v>3077</v>
      </c>
      <c r="B851" s="2" t="s">
        <v>3078</v>
      </c>
      <c r="C851" s="2" t="s">
        <v>61</v>
      </c>
      <c r="D851" s="27">
        <v>45954</v>
      </c>
      <c r="E851" s="2"/>
      <c r="F851" s="2" t="s">
        <v>8</v>
      </c>
      <c r="G851" s="24" t="s">
        <v>1365</v>
      </c>
    </row>
    <row r="852" spans="1:7" x14ac:dyDescent="0.2">
      <c r="A852" s="2" t="s">
        <v>3079</v>
      </c>
      <c r="B852" s="2" t="s">
        <v>3080</v>
      </c>
      <c r="C852" s="2" t="s">
        <v>61</v>
      </c>
      <c r="D852" s="27">
        <v>45951</v>
      </c>
      <c r="E852" s="2"/>
      <c r="F852" s="2" t="s">
        <v>8</v>
      </c>
      <c r="G852" s="24" t="s">
        <v>591</v>
      </c>
    </row>
    <row r="853" spans="1:7" x14ac:dyDescent="0.2">
      <c r="A853" s="2" t="s">
        <v>3081</v>
      </c>
      <c r="B853" s="2" t="s">
        <v>3082</v>
      </c>
      <c r="C853" s="2" t="s">
        <v>61</v>
      </c>
      <c r="D853" s="27">
        <v>45946</v>
      </c>
      <c r="E853" s="2"/>
      <c r="F853" s="2" t="s">
        <v>8</v>
      </c>
      <c r="G853" s="24" t="s">
        <v>591</v>
      </c>
    </row>
    <row r="854" spans="1:7" x14ac:dyDescent="0.2">
      <c r="A854" s="2" t="s">
        <v>3083</v>
      </c>
      <c r="B854" s="2" t="s">
        <v>3084</v>
      </c>
      <c r="C854" s="2" t="s">
        <v>61</v>
      </c>
      <c r="D854" s="27">
        <v>45939</v>
      </c>
      <c r="E854" s="2"/>
      <c r="F854" s="2" t="s">
        <v>8</v>
      </c>
      <c r="G854" s="24" t="s">
        <v>591</v>
      </c>
    </row>
    <row r="855" spans="1:7" x14ac:dyDescent="0.2">
      <c r="A855" s="2" t="s">
        <v>3085</v>
      </c>
      <c r="B855" s="2" t="s">
        <v>3086</v>
      </c>
      <c r="C855" s="2" t="s">
        <v>61</v>
      </c>
      <c r="D855" s="27">
        <v>45958</v>
      </c>
      <c r="E855" s="2"/>
      <c r="F855" s="2" t="s">
        <v>8</v>
      </c>
      <c r="G855" s="24" t="s">
        <v>1367</v>
      </c>
    </row>
    <row r="856" spans="1:7" x14ac:dyDescent="0.2">
      <c r="A856" s="2" t="s">
        <v>3087</v>
      </c>
      <c r="B856" s="2" t="s">
        <v>3088</v>
      </c>
      <c r="C856" s="2" t="s">
        <v>61</v>
      </c>
      <c r="D856" s="27">
        <v>45944</v>
      </c>
      <c r="E856" s="2"/>
      <c r="F856" s="2" t="s">
        <v>8</v>
      </c>
      <c r="G856" s="24" t="s">
        <v>591</v>
      </c>
    </row>
    <row r="857" spans="1:7" x14ac:dyDescent="0.2">
      <c r="A857" s="2" t="s">
        <v>3089</v>
      </c>
      <c r="B857" s="2" t="s">
        <v>3090</v>
      </c>
      <c r="C857" s="2" t="s">
        <v>61</v>
      </c>
      <c r="D857" s="27">
        <v>45931</v>
      </c>
      <c r="E857" s="2"/>
      <c r="F857" s="2" t="s">
        <v>8</v>
      </c>
      <c r="G857" s="24" t="s">
        <v>3895</v>
      </c>
    </row>
    <row r="858" spans="1:7" x14ac:dyDescent="0.2">
      <c r="A858" s="2" t="s">
        <v>3091</v>
      </c>
      <c r="B858" s="2" t="s">
        <v>3092</v>
      </c>
      <c r="C858" s="2" t="s">
        <v>61</v>
      </c>
      <c r="D858" s="27">
        <v>45951</v>
      </c>
      <c r="E858" s="2"/>
      <c r="F858" s="2" t="s">
        <v>8</v>
      </c>
      <c r="G858" s="24" t="s">
        <v>3895</v>
      </c>
    </row>
    <row r="859" spans="1:7" x14ac:dyDescent="0.2">
      <c r="A859" s="2" t="s">
        <v>3093</v>
      </c>
      <c r="B859" s="2" t="s">
        <v>3094</v>
      </c>
      <c r="C859" s="2" t="s">
        <v>61</v>
      </c>
      <c r="D859" s="27">
        <v>45952</v>
      </c>
      <c r="E859" s="2"/>
      <c r="F859" s="2" t="s">
        <v>8</v>
      </c>
      <c r="G859" s="24" t="s">
        <v>3895</v>
      </c>
    </row>
    <row r="860" spans="1:7" x14ac:dyDescent="0.2">
      <c r="A860" s="2" t="s">
        <v>3095</v>
      </c>
      <c r="B860" s="2" t="s">
        <v>3096</v>
      </c>
      <c r="C860" s="2" t="s">
        <v>61</v>
      </c>
      <c r="D860" s="27">
        <v>45959</v>
      </c>
      <c r="E860" s="2"/>
      <c r="F860" s="2" t="s">
        <v>8</v>
      </c>
      <c r="G860" s="24" t="s">
        <v>594</v>
      </c>
    </row>
    <row r="861" spans="1:7" x14ac:dyDescent="0.2">
      <c r="A861" s="2" t="s">
        <v>3097</v>
      </c>
      <c r="B861" s="2" t="s">
        <v>3098</v>
      </c>
      <c r="C861" s="2" t="s">
        <v>61</v>
      </c>
      <c r="D861" s="27">
        <v>45947</v>
      </c>
      <c r="E861" s="2"/>
      <c r="F861" s="2" t="s">
        <v>8</v>
      </c>
      <c r="G861" s="24" t="s">
        <v>3895</v>
      </c>
    </row>
    <row r="862" spans="1:7" x14ac:dyDescent="0.2">
      <c r="A862" s="2" t="s">
        <v>3099</v>
      </c>
      <c r="B862" s="2" t="s">
        <v>3100</v>
      </c>
      <c r="C862" s="2" t="s">
        <v>61</v>
      </c>
      <c r="D862" s="27">
        <v>45932</v>
      </c>
      <c r="E862" s="2"/>
      <c r="F862" s="2" t="s">
        <v>8</v>
      </c>
      <c r="G862" s="24" t="s">
        <v>3895</v>
      </c>
    </row>
    <row r="863" spans="1:7" x14ac:dyDescent="0.2">
      <c r="A863" s="2" t="s">
        <v>3101</v>
      </c>
      <c r="B863" s="2" t="s">
        <v>3102</v>
      </c>
      <c r="C863" s="2" t="s">
        <v>61</v>
      </c>
      <c r="D863" s="27">
        <v>45944</v>
      </c>
      <c r="E863" s="2"/>
      <c r="F863" s="2" t="s">
        <v>8</v>
      </c>
      <c r="G863" s="24" t="s">
        <v>3895</v>
      </c>
    </row>
    <row r="864" spans="1:7" x14ac:dyDescent="0.2">
      <c r="A864" s="2" t="s">
        <v>3103</v>
      </c>
      <c r="B864" s="2" t="s">
        <v>3104</v>
      </c>
      <c r="C864" s="2" t="s">
        <v>61</v>
      </c>
      <c r="D864" s="27">
        <v>45939</v>
      </c>
      <c r="E864" s="2"/>
      <c r="F864" s="2" t="s">
        <v>8</v>
      </c>
      <c r="G864" s="24" t="s">
        <v>3895</v>
      </c>
    </row>
    <row r="865" spans="1:7" x14ac:dyDescent="0.2">
      <c r="A865" s="2" t="s">
        <v>3105</v>
      </c>
      <c r="B865" s="2" t="s">
        <v>3106</v>
      </c>
      <c r="C865" s="2" t="s">
        <v>61</v>
      </c>
      <c r="D865" s="27">
        <v>45952</v>
      </c>
      <c r="E865" s="2"/>
      <c r="F865" s="2" t="s">
        <v>8</v>
      </c>
      <c r="G865" s="24" t="s">
        <v>3895</v>
      </c>
    </row>
    <row r="866" spans="1:7" x14ac:dyDescent="0.2">
      <c r="A866" s="2" t="s">
        <v>3107</v>
      </c>
      <c r="B866" s="2" t="s">
        <v>3108</v>
      </c>
      <c r="C866" s="2" t="s">
        <v>61</v>
      </c>
      <c r="D866" s="27">
        <v>45959</v>
      </c>
      <c r="E866" s="2"/>
      <c r="F866" s="2" t="s">
        <v>8</v>
      </c>
      <c r="G866" s="24" t="s">
        <v>3895</v>
      </c>
    </row>
    <row r="867" spans="1:7" x14ac:dyDescent="0.2">
      <c r="A867" s="2" t="s">
        <v>3109</v>
      </c>
      <c r="B867" s="2" t="s">
        <v>3110</v>
      </c>
      <c r="C867" s="2" t="s">
        <v>61</v>
      </c>
      <c r="D867" s="27">
        <v>45944</v>
      </c>
      <c r="E867" s="2"/>
      <c r="F867" s="2" t="s">
        <v>8</v>
      </c>
      <c r="G867" s="24" t="s">
        <v>3895</v>
      </c>
    </row>
    <row r="868" spans="1:7" x14ac:dyDescent="0.2">
      <c r="A868" s="2" t="s">
        <v>3111</v>
      </c>
      <c r="B868" s="2" t="s">
        <v>3112</v>
      </c>
      <c r="C868" s="2" t="s">
        <v>61</v>
      </c>
      <c r="D868" s="27">
        <v>45954</v>
      </c>
      <c r="E868" s="2"/>
      <c r="F868" s="2" t="s">
        <v>8</v>
      </c>
      <c r="G868" s="24" t="s">
        <v>3895</v>
      </c>
    </row>
    <row r="869" spans="1:7" x14ac:dyDescent="0.2">
      <c r="A869" s="2" t="s">
        <v>3113</v>
      </c>
      <c r="B869" s="2" t="s">
        <v>3114</v>
      </c>
      <c r="C869" s="2" t="s">
        <v>61</v>
      </c>
      <c r="D869" s="27">
        <v>45945</v>
      </c>
      <c r="E869" s="2"/>
      <c r="F869" s="2" t="s">
        <v>8</v>
      </c>
      <c r="G869" s="24" t="s">
        <v>3895</v>
      </c>
    </row>
    <row r="870" spans="1:7" x14ac:dyDescent="0.2">
      <c r="A870" s="2" t="s">
        <v>3115</v>
      </c>
      <c r="B870" s="2" t="s">
        <v>3116</v>
      </c>
      <c r="C870" s="2" t="s">
        <v>61</v>
      </c>
      <c r="D870" s="27">
        <v>45945</v>
      </c>
      <c r="E870" s="2"/>
      <c r="F870" s="2" t="s">
        <v>8</v>
      </c>
      <c r="G870" s="24" t="s">
        <v>3895</v>
      </c>
    </row>
    <row r="871" spans="1:7" x14ac:dyDescent="0.2">
      <c r="A871" s="2" t="s">
        <v>3117</v>
      </c>
      <c r="B871" s="2" t="s">
        <v>3118</v>
      </c>
      <c r="C871" s="2" t="s">
        <v>61</v>
      </c>
      <c r="D871" s="27">
        <v>45961</v>
      </c>
      <c r="E871" s="2"/>
      <c r="F871" s="2" t="s">
        <v>8</v>
      </c>
      <c r="G871" s="24" t="s">
        <v>3895</v>
      </c>
    </row>
    <row r="872" spans="1:7" x14ac:dyDescent="0.2">
      <c r="A872" s="2" t="s">
        <v>3119</v>
      </c>
      <c r="B872" s="2" t="s">
        <v>3120</v>
      </c>
      <c r="C872" s="2" t="s">
        <v>61</v>
      </c>
      <c r="D872" s="27">
        <v>45933</v>
      </c>
      <c r="E872" s="2"/>
      <c r="F872" s="2" t="s">
        <v>8</v>
      </c>
      <c r="G872" s="24" t="s">
        <v>3895</v>
      </c>
    </row>
    <row r="873" spans="1:7" x14ac:dyDescent="0.2">
      <c r="A873" s="2" t="s">
        <v>3121</v>
      </c>
      <c r="B873" s="2" t="s">
        <v>3122</v>
      </c>
      <c r="C873" s="2" t="s">
        <v>61</v>
      </c>
      <c r="D873" s="27">
        <v>45933</v>
      </c>
      <c r="E873" s="2"/>
      <c r="F873" s="2" t="s">
        <v>8</v>
      </c>
      <c r="G873" s="24" t="s">
        <v>3895</v>
      </c>
    </row>
    <row r="874" spans="1:7" x14ac:dyDescent="0.2">
      <c r="A874" s="2" t="s">
        <v>3123</v>
      </c>
      <c r="B874" s="2" t="s">
        <v>3124</v>
      </c>
      <c r="C874" s="2" t="s">
        <v>61</v>
      </c>
      <c r="D874" s="27">
        <v>45952</v>
      </c>
      <c r="E874" s="2"/>
      <c r="F874" s="2" t="s">
        <v>8</v>
      </c>
      <c r="G874" s="24" t="s">
        <v>3895</v>
      </c>
    </row>
    <row r="875" spans="1:7" x14ac:dyDescent="0.2">
      <c r="A875" s="2" t="s">
        <v>3125</v>
      </c>
      <c r="B875" s="2" t="s">
        <v>3126</v>
      </c>
      <c r="C875" s="2" t="s">
        <v>61</v>
      </c>
      <c r="D875" s="27">
        <v>45940</v>
      </c>
      <c r="E875" s="2"/>
      <c r="F875" s="2" t="s">
        <v>8</v>
      </c>
      <c r="G875" s="24" t="s">
        <v>3895</v>
      </c>
    </row>
    <row r="876" spans="1:7" x14ac:dyDescent="0.2">
      <c r="A876" s="2" t="s">
        <v>3127</v>
      </c>
      <c r="B876" s="2" t="s">
        <v>3128</v>
      </c>
      <c r="C876" s="2" t="s">
        <v>61</v>
      </c>
      <c r="D876" s="27">
        <v>45961</v>
      </c>
      <c r="E876" s="2"/>
      <c r="F876" s="2" t="s">
        <v>8</v>
      </c>
      <c r="G876" s="24" t="s">
        <v>3895</v>
      </c>
    </row>
    <row r="877" spans="1:7" x14ac:dyDescent="0.2">
      <c r="A877" s="2" t="s">
        <v>3129</v>
      </c>
      <c r="B877" s="2" t="s">
        <v>3130</v>
      </c>
      <c r="C877" s="2" t="s">
        <v>61</v>
      </c>
      <c r="D877" s="27">
        <v>45941</v>
      </c>
      <c r="E877" s="2"/>
      <c r="F877" s="2" t="s">
        <v>8</v>
      </c>
      <c r="G877" s="24" t="s">
        <v>3895</v>
      </c>
    </row>
    <row r="878" spans="1:7" x14ac:dyDescent="0.2">
      <c r="A878" s="2" t="s">
        <v>3131</v>
      </c>
      <c r="B878" s="2" t="s">
        <v>3132</v>
      </c>
      <c r="C878" s="2" t="s">
        <v>61</v>
      </c>
      <c r="D878" s="27">
        <v>45931</v>
      </c>
      <c r="E878" s="2"/>
      <c r="F878" s="2" t="s">
        <v>8</v>
      </c>
      <c r="G878" s="24" t="s">
        <v>3895</v>
      </c>
    </row>
    <row r="879" spans="1:7" x14ac:dyDescent="0.2">
      <c r="A879" s="2" t="s">
        <v>3133</v>
      </c>
      <c r="B879" s="2" t="s">
        <v>3134</v>
      </c>
      <c r="C879" s="2" t="s">
        <v>61</v>
      </c>
      <c r="D879" s="27">
        <v>45950</v>
      </c>
      <c r="E879" s="2"/>
      <c r="F879" s="2" t="s">
        <v>8</v>
      </c>
      <c r="G879" s="24" t="s">
        <v>3895</v>
      </c>
    </row>
    <row r="880" spans="1:7" x14ac:dyDescent="0.2">
      <c r="A880" s="2" t="s">
        <v>3135</v>
      </c>
      <c r="B880" s="2" t="s">
        <v>3136</v>
      </c>
      <c r="C880" s="2" t="s">
        <v>61</v>
      </c>
      <c r="D880" s="27">
        <v>45950</v>
      </c>
      <c r="E880" s="2"/>
      <c r="F880" s="2" t="s">
        <v>8</v>
      </c>
      <c r="G880" s="24" t="s">
        <v>3895</v>
      </c>
    </row>
    <row r="881" spans="1:7" x14ac:dyDescent="0.2">
      <c r="A881" s="2" t="s">
        <v>3137</v>
      </c>
      <c r="B881" s="2" t="s">
        <v>3138</v>
      </c>
      <c r="C881" s="2" t="s">
        <v>61</v>
      </c>
      <c r="D881" s="27">
        <v>45951</v>
      </c>
      <c r="E881" s="2"/>
      <c r="F881" s="2" t="s">
        <v>8</v>
      </c>
      <c r="G881" s="24" t="s">
        <v>3895</v>
      </c>
    </row>
    <row r="882" spans="1:7" x14ac:dyDescent="0.2">
      <c r="A882" s="2" t="s">
        <v>3139</v>
      </c>
      <c r="B882" s="2" t="s">
        <v>3140</v>
      </c>
      <c r="C882" s="2" t="s">
        <v>61</v>
      </c>
      <c r="D882" s="27">
        <v>45958</v>
      </c>
      <c r="E882" s="2"/>
      <c r="F882" s="2" t="s">
        <v>8</v>
      </c>
      <c r="G882" s="24" t="s">
        <v>3895</v>
      </c>
    </row>
    <row r="883" spans="1:7" x14ac:dyDescent="0.2">
      <c r="A883" s="2" t="s">
        <v>3141</v>
      </c>
      <c r="B883" s="2" t="s">
        <v>3142</v>
      </c>
      <c r="C883" s="2" t="s">
        <v>61</v>
      </c>
      <c r="D883" s="27">
        <v>45958</v>
      </c>
      <c r="E883" s="2"/>
      <c r="F883" s="2" t="s">
        <v>8</v>
      </c>
      <c r="G883" s="24" t="s">
        <v>3895</v>
      </c>
    </row>
    <row r="884" spans="1:7" x14ac:dyDescent="0.2">
      <c r="A884" s="2" t="s">
        <v>3143</v>
      </c>
      <c r="B884" s="2" t="s">
        <v>3144</v>
      </c>
      <c r="C884" s="2" t="s">
        <v>61</v>
      </c>
      <c r="D884" s="27">
        <v>45960</v>
      </c>
      <c r="E884" s="2"/>
      <c r="F884" s="2" t="s">
        <v>8</v>
      </c>
      <c r="G884" s="24" t="s">
        <v>3895</v>
      </c>
    </row>
    <row r="885" spans="1:7" x14ac:dyDescent="0.2">
      <c r="A885" s="2" t="s">
        <v>3145</v>
      </c>
      <c r="B885" s="2" t="s">
        <v>3146</v>
      </c>
      <c r="C885" s="2" t="s">
        <v>61</v>
      </c>
      <c r="D885" s="27">
        <v>45938</v>
      </c>
      <c r="E885" s="2"/>
      <c r="F885" s="2" t="s">
        <v>8</v>
      </c>
      <c r="G885" s="24" t="s">
        <v>3895</v>
      </c>
    </row>
    <row r="886" spans="1:7" x14ac:dyDescent="0.2">
      <c r="A886" s="2" t="s">
        <v>3147</v>
      </c>
      <c r="B886" s="2" t="s">
        <v>3148</v>
      </c>
      <c r="C886" s="2" t="s">
        <v>61</v>
      </c>
      <c r="D886" s="27">
        <v>45937</v>
      </c>
      <c r="E886" s="2"/>
      <c r="F886" s="2" t="s">
        <v>8</v>
      </c>
      <c r="G886" s="24" t="s">
        <v>3895</v>
      </c>
    </row>
    <row r="887" spans="1:7" x14ac:dyDescent="0.2">
      <c r="A887" s="2" t="s">
        <v>3149</v>
      </c>
      <c r="B887" s="2" t="s">
        <v>3150</v>
      </c>
      <c r="C887" s="2" t="s">
        <v>61</v>
      </c>
      <c r="D887" s="27">
        <v>45951</v>
      </c>
      <c r="E887" s="2"/>
      <c r="F887" s="2" t="s">
        <v>8</v>
      </c>
      <c r="G887" s="24" t="s">
        <v>593</v>
      </c>
    </row>
    <row r="888" spans="1:7" x14ac:dyDescent="0.2">
      <c r="A888" s="2" t="s">
        <v>3151</v>
      </c>
      <c r="B888" s="2" t="s">
        <v>3152</v>
      </c>
      <c r="C888" s="2" t="s">
        <v>61</v>
      </c>
      <c r="D888" s="27">
        <v>45946</v>
      </c>
      <c r="E888" s="2"/>
      <c r="F888" s="2" t="s">
        <v>8</v>
      </c>
      <c r="G888" s="24" t="s">
        <v>3895</v>
      </c>
    </row>
    <row r="889" spans="1:7" x14ac:dyDescent="0.2">
      <c r="A889" s="2" t="s">
        <v>3153</v>
      </c>
      <c r="B889" s="2" t="s">
        <v>3154</v>
      </c>
      <c r="C889" s="2" t="s">
        <v>61</v>
      </c>
      <c r="D889" s="27">
        <v>45945</v>
      </c>
      <c r="E889" s="2"/>
      <c r="F889" s="2" t="s">
        <v>8</v>
      </c>
      <c r="G889" s="24" t="s">
        <v>3895</v>
      </c>
    </row>
    <row r="890" spans="1:7" x14ac:dyDescent="0.2">
      <c r="A890" s="2" t="s">
        <v>3155</v>
      </c>
      <c r="B890" s="2" t="s">
        <v>3156</v>
      </c>
      <c r="C890" s="2" t="s">
        <v>61</v>
      </c>
      <c r="D890" s="27">
        <v>45947</v>
      </c>
      <c r="E890" s="2"/>
      <c r="F890" s="2" t="s">
        <v>8</v>
      </c>
      <c r="G890" s="24" t="s">
        <v>79</v>
      </c>
    </row>
    <row r="891" spans="1:7" x14ac:dyDescent="0.2">
      <c r="A891" s="2" t="s">
        <v>3157</v>
      </c>
      <c r="B891" s="2" t="s">
        <v>3158</v>
      </c>
      <c r="C891" s="2" t="s">
        <v>61</v>
      </c>
      <c r="D891" s="27">
        <v>45946</v>
      </c>
      <c r="E891" s="2"/>
      <c r="F891" s="2" t="s">
        <v>8</v>
      </c>
      <c r="G891" s="24" t="s">
        <v>3895</v>
      </c>
    </row>
    <row r="892" spans="1:7" x14ac:dyDescent="0.2">
      <c r="A892" s="2" t="s">
        <v>3159</v>
      </c>
      <c r="B892" s="2" t="s">
        <v>3160</v>
      </c>
      <c r="C892" s="2" t="s">
        <v>61</v>
      </c>
      <c r="D892" s="27">
        <v>45948</v>
      </c>
      <c r="E892" s="2"/>
      <c r="F892" s="2" t="s">
        <v>8</v>
      </c>
      <c r="G892" s="24" t="s">
        <v>3895</v>
      </c>
    </row>
    <row r="893" spans="1:7" x14ac:dyDescent="0.2">
      <c r="A893" s="2" t="s">
        <v>3161</v>
      </c>
      <c r="B893" s="2" t="s">
        <v>3162</v>
      </c>
      <c r="C893" s="2" t="s">
        <v>61</v>
      </c>
      <c r="D893" s="27">
        <v>45960</v>
      </c>
      <c r="E893" s="2"/>
      <c r="F893" s="2" t="s">
        <v>8</v>
      </c>
      <c r="G893" s="24" t="s">
        <v>3895</v>
      </c>
    </row>
    <row r="894" spans="1:7" x14ac:dyDescent="0.2">
      <c r="A894" s="2" t="s">
        <v>3163</v>
      </c>
      <c r="B894" s="2" t="s">
        <v>3164</v>
      </c>
      <c r="C894" s="2" t="s">
        <v>61</v>
      </c>
      <c r="D894" s="27">
        <v>45956</v>
      </c>
      <c r="E894" s="2"/>
      <c r="F894" s="2" t="s">
        <v>8</v>
      </c>
      <c r="G894" s="24" t="s">
        <v>3895</v>
      </c>
    </row>
    <row r="895" spans="1:7" x14ac:dyDescent="0.2">
      <c r="A895" s="2" t="s">
        <v>3165</v>
      </c>
      <c r="B895" s="2" t="s">
        <v>3166</v>
      </c>
      <c r="C895" s="2" t="s">
        <v>61</v>
      </c>
      <c r="D895" s="27">
        <v>45945</v>
      </c>
      <c r="E895" s="2"/>
      <c r="F895" s="2" t="s">
        <v>8</v>
      </c>
      <c r="G895" s="24" t="s">
        <v>3895</v>
      </c>
    </row>
    <row r="896" spans="1:7" x14ac:dyDescent="0.2">
      <c r="A896" s="2" t="s">
        <v>3167</v>
      </c>
      <c r="B896" s="2" t="s">
        <v>3168</v>
      </c>
      <c r="C896" s="2" t="s">
        <v>61</v>
      </c>
      <c r="D896" s="27">
        <v>45957</v>
      </c>
      <c r="E896" s="2"/>
      <c r="F896" s="2" t="s">
        <v>8</v>
      </c>
      <c r="G896" s="24" t="s">
        <v>591</v>
      </c>
    </row>
    <row r="897" spans="1:7" x14ac:dyDescent="0.2">
      <c r="A897" s="2" t="s">
        <v>3169</v>
      </c>
      <c r="B897" s="2" t="s">
        <v>3170</v>
      </c>
      <c r="C897" s="2" t="s">
        <v>61</v>
      </c>
      <c r="D897" s="27">
        <v>45958</v>
      </c>
      <c r="E897" s="2"/>
      <c r="F897" s="2" t="s">
        <v>8</v>
      </c>
      <c r="G897" s="24" t="s">
        <v>3895</v>
      </c>
    </row>
    <row r="898" spans="1:7" x14ac:dyDescent="0.2">
      <c r="A898" s="2" t="s">
        <v>3171</v>
      </c>
      <c r="B898" s="2" t="s">
        <v>3172</v>
      </c>
      <c r="C898" s="2" t="s">
        <v>61</v>
      </c>
      <c r="D898" s="27">
        <v>45950</v>
      </c>
      <c r="E898" s="2"/>
      <c r="F898" s="2" t="s">
        <v>8</v>
      </c>
      <c r="G898" s="24" t="s">
        <v>3895</v>
      </c>
    </row>
    <row r="899" spans="1:7" x14ac:dyDescent="0.2">
      <c r="A899" s="2" t="s">
        <v>3173</v>
      </c>
      <c r="B899" s="2" t="s">
        <v>3174</v>
      </c>
      <c r="C899" s="2" t="s">
        <v>61</v>
      </c>
      <c r="D899" s="27">
        <v>45960</v>
      </c>
      <c r="E899" s="2"/>
      <c r="F899" s="2" t="s">
        <v>8</v>
      </c>
      <c r="G899" s="24" t="s">
        <v>3895</v>
      </c>
    </row>
    <row r="900" spans="1:7" x14ac:dyDescent="0.2">
      <c r="A900" s="2" t="s">
        <v>3175</v>
      </c>
      <c r="B900" s="2" t="s">
        <v>3176</v>
      </c>
      <c r="C900" s="2" t="s">
        <v>61</v>
      </c>
      <c r="D900" s="27">
        <v>45961</v>
      </c>
      <c r="E900" s="2"/>
      <c r="F900" s="2" t="s">
        <v>8</v>
      </c>
      <c r="G900" s="24" t="s">
        <v>3895</v>
      </c>
    </row>
    <row r="901" spans="1:7" x14ac:dyDescent="0.2">
      <c r="A901" s="2" t="s">
        <v>3177</v>
      </c>
      <c r="B901" s="2" t="s">
        <v>3178</v>
      </c>
      <c r="C901" s="2" t="s">
        <v>61</v>
      </c>
      <c r="D901" s="27">
        <v>45945</v>
      </c>
      <c r="E901" s="2"/>
      <c r="F901" s="2" t="s">
        <v>8</v>
      </c>
      <c r="G901" s="24" t="s">
        <v>3895</v>
      </c>
    </row>
    <row r="902" spans="1:7" x14ac:dyDescent="0.2">
      <c r="A902" s="2" t="s">
        <v>3179</v>
      </c>
      <c r="B902" s="2" t="s">
        <v>3180</v>
      </c>
      <c r="C902" s="2" t="s">
        <v>61</v>
      </c>
      <c r="D902" s="27">
        <v>45954</v>
      </c>
      <c r="E902" s="2"/>
      <c r="F902" s="2" t="s">
        <v>8</v>
      </c>
      <c r="G902" s="24" t="s">
        <v>3895</v>
      </c>
    </row>
    <row r="903" spans="1:7" x14ac:dyDescent="0.2">
      <c r="A903" s="2" t="s">
        <v>3181</v>
      </c>
      <c r="B903" s="2" t="s">
        <v>3182</v>
      </c>
      <c r="C903" s="2" t="s">
        <v>61</v>
      </c>
      <c r="D903" s="27">
        <v>45932</v>
      </c>
      <c r="E903" s="2"/>
      <c r="F903" s="2" t="s">
        <v>8</v>
      </c>
      <c r="G903" s="24" t="s">
        <v>3895</v>
      </c>
    </row>
    <row r="904" spans="1:7" x14ac:dyDescent="0.2">
      <c r="A904" s="2" t="s">
        <v>3183</v>
      </c>
      <c r="B904" s="2" t="s">
        <v>3184</v>
      </c>
      <c r="C904" s="2" t="s">
        <v>61</v>
      </c>
      <c r="D904" s="27">
        <v>45946</v>
      </c>
      <c r="E904" s="2"/>
      <c r="F904" s="2" t="s">
        <v>8</v>
      </c>
      <c r="G904" s="24" t="s">
        <v>3895</v>
      </c>
    </row>
    <row r="905" spans="1:7" x14ac:dyDescent="0.2">
      <c r="A905" s="2" t="s">
        <v>3185</v>
      </c>
      <c r="B905" s="2" t="s">
        <v>3186</v>
      </c>
      <c r="C905" s="2" t="s">
        <v>61</v>
      </c>
      <c r="D905" s="27">
        <v>45933</v>
      </c>
      <c r="E905" s="2"/>
      <c r="F905" s="2" t="s">
        <v>8</v>
      </c>
      <c r="G905" s="24" t="s">
        <v>3895</v>
      </c>
    </row>
    <row r="906" spans="1:7" x14ac:dyDescent="0.2">
      <c r="A906" s="2" t="s">
        <v>3187</v>
      </c>
      <c r="B906" s="2" t="s">
        <v>3188</v>
      </c>
      <c r="C906" s="2" t="s">
        <v>61</v>
      </c>
      <c r="D906" s="27">
        <v>45932</v>
      </c>
      <c r="E906" s="2"/>
      <c r="F906" s="2" t="s">
        <v>8</v>
      </c>
      <c r="G906" s="24" t="s">
        <v>3895</v>
      </c>
    </row>
    <row r="907" spans="1:7" x14ac:dyDescent="0.2">
      <c r="A907" s="2" t="s">
        <v>3189</v>
      </c>
      <c r="B907" s="2" t="s">
        <v>3190</v>
      </c>
      <c r="C907" s="2" t="s">
        <v>61</v>
      </c>
      <c r="D907" s="27">
        <v>45959</v>
      </c>
      <c r="E907" s="2"/>
      <c r="F907" s="2" t="s">
        <v>8</v>
      </c>
      <c r="G907" s="24" t="s">
        <v>3895</v>
      </c>
    </row>
    <row r="908" spans="1:7" x14ac:dyDescent="0.2">
      <c r="A908" s="2" t="s">
        <v>3191</v>
      </c>
      <c r="B908" s="2" t="s">
        <v>3192</v>
      </c>
      <c r="C908" s="2" t="s">
        <v>61</v>
      </c>
      <c r="D908" s="27">
        <v>45946</v>
      </c>
      <c r="E908" s="2"/>
      <c r="F908" s="2" t="s">
        <v>8</v>
      </c>
      <c r="G908" s="24" t="s">
        <v>3895</v>
      </c>
    </row>
    <row r="909" spans="1:7" x14ac:dyDescent="0.2">
      <c r="A909" s="2" t="s">
        <v>3193</v>
      </c>
      <c r="B909" s="2" t="s">
        <v>3194</v>
      </c>
      <c r="C909" s="2" t="s">
        <v>61</v>
      </c>
      <c r="D909" s="27">
        <v>45961</v>
      </c>
      <c r="E909" s="2"/>
      <c r="F909" s="2" t="s">
        <v>8</v>
      </c>
      <c r="G909" s="24" t="s">
        <v>3895</v>
      </c>
    </row>
    <row r="910" spans="1:7" x14ac:dyDescent="0.2">
      <c r="A910" s="2" t="s">
        <v>3195</v>
      </c>
      <c r="B910" s="2" t="s">
        <v>3196</v>
      </c>
      <c r="C910" s="2" t="s">
        <v>61</v>
      </c>
      <c r="D910" s="27">
        <v>45947</v>
      </c>
      <c r="E910" s="2"/>
      <c r="F910" s="2" t="s">
        <v>8</v>
      </c>
      <c r="G910" s="24" t="s">
        <v>3895</v>
      </c>
    </row>
    <row r="911" spans="1:7" x14ac:dyDescent="0.2">
      <c r="A911" s="2" t="s">
        <v>3197</v>
      </c>
      <c r="B911" s="2" t="s">
        <v>3198</v>
      </c>
      <c r="C911" s="2" t="s">
        <v>61</v>
      </c>
      <c r="D911" s="27">
        <v>45953</v>
      </c>
      <c r="E911" s="2"/>
      <c r="F911" s="2" t="s">
        <v>8</v>
      </c>
      <c r="G911" s="24" t="s">
        <v>3895</v>
      </c>
    </row>
    <row r="912" spans="1:7" x14ac:dyDescent="0.2">
      <c r="A912" s="2" t="s">
        <v>3199</v>
      </c>
      <c r="B912" s="2" t="s">
        <v>3200</v>
      </c>
      <c r="C912" s="2" t="s">
        <v>61</v>
      </c>
      <c r="D912" s="27">
        <v>45947</v>
      </c>
      <c r="E912" s="2"/>
      <c r="F912" s="2" t="s">
        <v>8</v>
      </c>
      <c r="G912" s="24" t="s">
        <v>3895</v>
      </c>
    </row>
    <row r="913" spans="1:7" x14ac:dyDescent="0.2">
      <c r="A913" s="2" t="s">
        <v>3201</v>
      </c>
      <c r="B913" s="2" t="s">
        <v>3202</v>
      </c>
      <c r="C913" s="2" t="s">
        <v>61</v>
      </c>
      <c r="D913" s="27">
        <v>45953</v>
      </c>
      <c r="E913" s="2"/>
      <c r="F913" s="2" t="s">
        <v>8</v>
      </c>
      <c r="G913" s="24" t="s">
        <v>3895</v>
      </c>
    </row>
    <row r="914" spans="1:7" x14ac:dyDescent="0.2">
      <c r="A914" s="2" t="s">
        <v>3203</v>
      </c>
      <c r="B914" s="2" t="s">
        <v>3204</v>
      </c>
      <c r="C914" s="2" t="s">
        <v>61</v>
      </c>
      <c r="D914" s="27">
        <v>45958</v>
      </c>
      <c r="E914" s="2"/>
      <c r="F914" s="2" t="s">
        <v>8</v>
      </c>
      <c r="G914" s="24" t="s">
        <v>3895</v>
      </c>
    </row>
    <row r="915" spans="1:7" x14ac:dyDescent="0.2">
      <c r="A915" s="2" t="s">
        <v>3205</v>
      </c>
      <c r="B915" s="2" t="s">
        <v>3206</v>
      </c>
      <c r="C915" s="2" t="s">
        <v>61</v>
      </c>
      <c r="D915" s="27">
        <v>45959</v>
      </c>
      <c r="E915" s="2"/>
      <c r="F915" s="2" t="s">
        <v>8</v>
      </c>
      <c r="G915" s="24" t="s">
        <v>3895</v>
      </c>
    </row>
    <row r="916" spans="1:7" x14ac:dyDescent="0.2">
      <c r="A916" s="2" t="s">
        <v>3207</v>
      </c>
      <c r="B916" s="2" t="s">
        <v>3208</v>
      </c>
      <c r="C916" s="2" t="s">
        <v>61</v>
      </c>
      <c r="D916" s="27">
        <v>45951</v>
      </c>
      <c r="E916" s="2"/>
      <c r="F916" s="2" t="s">
        <v>8</v>
      </c>
      <c r="G916" s="24" t="s">
        <v>3895</v>
      </c>
    </row>
    <row r="917" spans="1:7" x14ac:dyDescent="0.2">
      <c r="A917" s="2" t="s">
        <v>3209</v>
      </c>
      <c r="B917" s="2" t="s">
        <v>3210</v>
      </c>
      <c r="C917" s="2" t="s">
        <v>61</v>
      </c>
      <c r="D917" s="27">
        <v>45940</v>
      </c>
      <c r="E917" s="2"/>
      <c r="F917" s="2" t="s">
        <v>8</v>
      </c>
      <c r="G917" s="24" t="s">
        <v>3895</v>
      </c>
    </row>
    <row r="918" spans="1:7" x14ac:dyDescent="0.2">
      <c r="A918" s="2" t="s">
        <v>3211</v>
      </c>
      <c r="B918" s="2" t="s">
        <v>3212</v>
      </c>
      <c r="C918" s="2" t="s">
        <v>61</v>
      </c>
      <c r="D918" s="27">
        <v>45946</v>
      </c>
      <c r="E918" s="2"/>
      <c r="F918" s="2" t="s">
        <v>8</v>
      </c>
      <c r="G918" s="24" t="s">
        <v>3895</v>
      </c>
    </row>
    <row r="919" spans="1:7" x14ac:dyDescent="0.2">
      <c r="A919" s="2" t="s">
        <v>3213</v>
      </c>
      <c r="B919" s="2" t="s">
        <v>3214</v>
      </c>
      <c r="C919" s="2" t="s">
        <v>61</v>
      </c>
      <c r="D919" s="27">
        <v>45937</v>
      </c>
      <c r="E919" s="2"/>
      <c r="F919" s="2" t="s">
        <v>8</v>
      </c>
      <c r="G919" s="24" t="s">
        <v>3895</v>
      </c>
    </row>
    <row r="920" spans="1:7" x14ac:dyDescent="0.2">
      <c r="A920" s="2" t="s">
        <v>3215</v>
      </c>
      <c r="B920" s="2" t="s">
        <v>3216</v>
      </c>
      <c r="C920" s="2" t="s">
        <v>61</v>
      </c>
      <c r="D920" s="27">
        <v>45951</v>
      </c>
      <c r="E920" s="2"/>
      <c r="F920" s="2" t="s">
        <v>8</v>
      </c>
      <c r="G920" s="24" t="s">
        <v>3895</v>
      </c>
    </row>
    <row r="921" spans="1:7" x14ac:dyDescent="0.2">
      <c r="A921" s="2" t="s">
        <v>3217</v>
      </c>
      <c r="B921" s="2" t="s">
        <v>3218</v>
      </c>
      <c r="C921" s="2" t="s">
        <v>61</v>
      </c>
      <c r="D921" s="27">
        <v>45946</v>
      </c>
      <c r="E921" s="2"/>
      <c r="F921" s="2" t="s">
        <v>8</v>
      </c>
      <c r="G921" s="24" t="s">
        <v>3895</v>
      </c>
    </row>
    <row r="922" spans="1:7" x14ac:dyDescent="0.2">
      <c r="A922" s="2" t="s">
        <v>3219</v>
      </c>
      <c r="B922" s="2" t="s">
        <v>3220</v>
      </c>
      <c r="C922" s="2" t="s">
        <v>61</v>
      </c>
      <c r="D922" s="27">
        <v>45952</v>
      </c>
      <c r="E922" s="2"/>
      <c r="F922" s="2" t="s">
        <v>8</v>
      </c>
      <c r="G922" s="24" t="s">
        <v>3895</v>
      </c>
    </row>
    <row r="923" spans="1:7" x14ac:dyDescent="0.2">
      <c r="A923" s="2" t="s">
        <v>3221</v>
      </c>
      <c r="B923" s="2" t="s">
        <v>3222</v>
      </c>
      <c r="C923" s="2" t="s">
        <v>61</v>
      </c>
      <c r="D923" s="27">
        <v>45960</v>
      </c>
      <c r="E923" s="2"/>
      <c r="F923" s="2" t="s">
        <v>8</v>
      </c>
      <c r="G923" s="24" t="s">
        <v>3895</v>
      </c>
    </row>
    <row r="924" spans="1:7" x14ac:dyDescent="0.2">
      <c r="A924" s="2" t="s">
        <v>3223</v>
      </c>
      <c r="B924" s="2" t="s">
        <v>3224</v>
      </c>
      <c r="C924" s="2" t="s">
        <v>61</v>
      </c>
      <c r="D924" s="27">
        <v>45952</v>
      </c>
      <c r="E924" s="2"/>
      <c r="F924" s="2" t="s">
        <v>8</v>
      </c>
      <c r="G924" s="24" t="s">
        <v>3895</v>
      </c>
    </row>
    <row r="925" spans="1:7" x14ac:dyDescent="0.2">
      <c r="A925" s="2" t="s">
        <v>3225</v>
      </c>
      <c r="B925" s="2" t="s">
        <v>3226</v>
      </c>
      <c r="C925" s="2" t="s">
        <v>61</v>
      </c>
      <c r="D925" s="27">
        <v>45934</v>
      </c>
      <c r="E925" s="2"/>
      <c r="F925" s="2" t="s">
        <v>8</v>
      </c>
      <c r="G925" s="24" t="s">
        <v>3895</v>
      </c>
    </row>
    <row r="926" spans="1:7" x14ac:dyDescent="0.2">
      <c r="A926" s="2" t="s">
        <v>3227</v>
      </c>
      <c r="B926" s="2" t="s">
        <v>3228</v>
      </c>
      <c r="C926" s="2" t="s">
        <v>61</v>
      </c>
      <c r="D926" s="27">
        <v>45953</v>
      </c>
      <c r="E926" s="2"/>
      <c r="F926" s="2" t="s">
        <v>8</v>
      </c>
      <c r="G926" s="24" t="s">
        <v>3895</v>
      </c>
    </row>
    <row r="927" spans="1:7" x14ac:dyDescent="0.2">
      <c r="A927" s="2" t="s">
        <v>3229</v>
      </c>
      <c r="B927" s="2" t="s">
        <v>3230</v>
      </c>
      <c r="C927" s="2" t="s">
        <v>61</v>
      </c>
      <c r="D927" s="27">
        <v>45961</v>
      </c>
      <c r="E927" s="2"/>
      <c r="F927" s="2" t="s">
        <v>8</v>
      </c>
      <c r="G927" s="24" t="s">
        <v>3895</v>
      </c>
    </row>
    <row r="928" spans="1:7" x14ac:dyDescent="0.2">
      <c r="A928" s="2" t="s">
        <v>3231</v>
      </c>
      <c r="B928" s="2" t="s">
        <v>3232</v>
      </c>
      <c r="C928" s="2" t="s">
        <v>61</v>
      </c>
      <c r="D928" s="27">
        <v>45944</v>
      </c>
      <c r="E928" s="2"/>
      <c r="F928" s="2" t="s">
        <v>8</v>
      </c>
      <c r="G928" s="24" t="s">
        <v>3895</v>
      </c>
    </row>
    <row r="929" spans="1:7" x14ac:dyDescent="0.2">
      <c r="A929" s="2" t="s">
        <v>3233</v>
      </c>
      <c r="B929" s="2" t="s">
        <v>3234</v>
      </c>
      <c r="C929" s="2" t="s">
        <v>61</v>
      </c>
      <c r="D929" s="27">
        <v>45946</v>
      </c>
      <c r="E929" s="2"/>
      <c r="F929" s="2" t="s">
        <v>8</v>
      </c>
      <c r="G929" s="24" t="s">
        <v>3895</v>
      </c>
    </row>
    <row r="930" spans="1:7" x14ac:dyDescent="0.2">
      <c r="A930" s="2" t="s">
        <v>3235</v>
      </c>
      <c r="B930" s="2" t="s">
        <v>3236</v>
      </c>
      <c r="C930" s="2" t="s">
        <v>61</v>
      </c>
      <c r="D930" s="27">
        <v>45946</v>
      </c>
      <c r="E930" s="2"/>
      <c r="F930" s="2" t="s">
        <v>8</v>
      </c>
      <c r="G930" s="24" t="s">
        <v>3895</v>
      </c>
    </row>
    <row r="931" spans="1:7" x14ac:dyDescent="0.2">
      <c r="A931" s="2" t="s">
        <v>3237</v>
      </c>
      <c r="B931" s="2" t="s">
        <v>3238</v>
      </c>
      <c r="C931" s="2" t="s">
        <v>61</v>
      </c>
      <c r="D931" s="27">
        <v>45954</v>
      </c>
      <c r="E931" s="2"/>
      <c r="F931" s="2" t="s">
        <v>8</v>
      </c>
      <c r="G931" s="24" t="s">
        <v>3895</v>
      </c>
    </row>
    <row r="932" spans="1:7" x14ac:dyDescent="0.2">
      <c r="A932" s="2" t="s">
        <v>3239</v>
      </c>
      <c r="B932" s="2" t="s">
        <v>3240</v>
      </c>
      <c r="C932" s="2" t="s">
        <v>61</v>
      </c>
      <c r="D932" s="27">
        <v>45952</v>
      </c>
      <c r="E932" s="2"/>
      <c r="F932" s="2" t="s">
        <v>8</v>
      </c>
      <c r="G932" s="24" t="s">
        <v>3895</v>
      </c>
    </row>
    <row r="933" spans="1:7" x14ac:dyDescent="0.2">
      <c r="A933" s="2" t="s">
        <v>3241</v>
      </c>
      <c r="B933" s="2" t="s">
        <v>3242</v>
      </c>
      <c r="C933" s="2" t="s">
        <v>61</v>
      </c>
      <c r="D933" s="27">
        <v>45957</v>
      </c>
      <c r="E933" s="2"/>
      <c r="F933" s="2" t="s">
        <v>8</v>
      </c>
      <c r="G933" s="24" t="s">
        <v>3895</v>
      </c>
    </row>
    <row r="934" spans="1:7" x14ac:dyDescent="0.2">
      <c r="A934" s="2" t="s">
        <v>3243</v>
      </c>
      <c r="B934" s="2" t="s">
        <v>3244</v>
      </c>
      <c r="C934" s="2" t="s">
        <v>61</v>
      </c>
      <c r="D934" s="27">
        <v>45946</v>
      </c>
      <c r="E934" s="2"/>
      <c r="F934" s="2" t="s">
        <v>8</v>
      </c>
      <c r="G934" s="24" t="s">
        <v>1367</v>
      </c>
    </row>
    <row r="935" spans="1:7" x14ac:dyDescent="0.2">
      <c r="A935" s="2" t="s">
        <v>3245</v>
      </c>
      <c r="B935" s="2" t="s">
        <v>3246</v>
      </c>
      <c r="C935" s="2" t="s">
        <v>61</v>
      </c>
      <c r="D935" s="27">
        <v>45959</v>
      </c>
      <c r="E935" s="2"/>
      <c r="F935" s="2" t="s">
        <v>8</v>
      </c>
      <c r="G935" s="24" t="s">
        <v>590</v>
      </c>
    </row>
    <row r="936" spans="1:7" x14ac:dyDescent="0.2">
      <c r="A936" s="2" t="s">
        <v>3247</v>
      </c>
      <c r="B936" s="2" t="s">
        <v>3248</v>
      </c>
      <c r="C936" s="2" t="s">
        <v>61</v>
      </c>
      <c r="D936" s="27">
        <v>45933</v>
      </c>
      <c r="E936" s="2"/>
      <c r="F936" s="2" t="s">
        <v>8</v>
      </c>
      <c r="G936" s="24" t="s">
        <v>95</v>
      </c>
    </row>
    <row r="937" spans="1:7" x14ac:dyDescent="0.2">
      <c r="A937" s="2" t="s">
        <v>3249</v>
      </c>
      <c r="B937" s="2" t="s">
        <v>3250</v>
      </c>
      <c r="C937" s="2" t="s">
        <v>61</v>
      </c>
      <c r="D937" s="27">
        <v>45957</v>
      </c>
      <c r="E937" s="2"/>
      <c r="F937" s="2" t="s">
        <v>8</v>
      </c>
      <c r="G937" s="24" t="s">
        <v>97</v>
      </c>
    </row>
    <row r="938" spans="1:7" x14ac:dyDescent="0.2">
      <c r="A938" s="2" t="s">
        <v>3251</v>
      </c>
      <c r="B938" s="2" t="s">
        <v>3252</v>
      </c>
      <c r="C938" s="2" t="s">
        <v>61</v>
      </c>
      <c r="D938" s="27">
        <v>45942</v>
      </c>
      <c r="E938" s="2"/>
      <c r="F938" s="2" t="s">
        <v>8</v>
      </c>
      <c r="G938" s="24" t="s">
        <v>3896</v>
      </c>
    </row>
    <row r="939" spans="1:7" x14ac:dyDescent="0.2">
      <c r="A939" s="2" t="s">
        <v>3253</v>
      </c>
      <c r="B939" s="2" t="s">
        <v>3254</v>
      </c>
      <c r="C939" s="2" t="s">
        <v>61</v>
      </c>
      <c r="D939" s="27">
        <v>45959</v>
      </c>
      <c r="E939" s="2"/>
      <c r="F939" s="2" t="s">
        <v>8</v>
      </c>
      <c r="G939" s="24" t="s">
        <v>96</v>
      </c>
    </row>
    <row r="940" spans="1:7" x14ac:dyDescent="0.2">
      <c r="A940" s="2" t="s">
        <v>3255</v>
      </c>
      <c r="B940" s="2" t="s">
        <v>3256</v>
      </c>
      <c r="C940" s="2" t="s">
        <v>61</v>
      </c>
      <c r="D940" s="27">
        <v>45937</v>
      </c>
      <c r="E940" s="2"/>
      <c r="F940" s="2" t="s">
        <v>8</v>
      </c>
      <c r="G940" s="24" t="s">
        <v>1367</v>
      </c>
    </row>
    <row r="941" spans="1:7" x14ac:dyDescent="0.2">
      <c r="A941" s="2" t="s">
        <v>3257</v>
      </c>
      <c r="B941" s="2" t="s">
        <v>3258</v>
      </c>
      <c r="C941" s="2" t="s">
        <v>61</v>
      </c>
      <c r="D941" s="27">
        <v>45954</v>
      </c>
      <c r="E941" s="2"/>
      <c r="F941" s="2" t="s">
        <v>8</v>
      </c>
      <c r="G941" s="24" t="s">
        <v>95</v>
      </c>
    </row>
    <row r="942" spans="1:7" x14ac:dyDescent="0.2">
      <c r="A942" s="2" t="s">
        <v>3259</v>
      </c>
      <c r="B942" s="2" t="s">
        <v>3260</v>
      </c>
      <c r="C942" s="2" t="s">
        <v>61</v>
      </c>
      <c r="D942" s="27">
        <v>45949</v>
      </c>
      <c r="E942" s="2"/>
      <c r="F942" s="2" t="s">
        <v>8</v>
      </c>
      <c r="G942" s="24" t="s">
        <v>3899</v>
      </c>
    </row>
    <row r="943" spans="1:7" x14ac:dyDescent="0.2">
      <c r="A943" s="2" t="s">
        <v>3261</v>
      </c>
      <c r="B943" s="2" t="s">
        <v>3262</v>
      </c>
      <c r="C943" s="2" t="s">
        <v>61</v>
      </c>
      <c r="D943" s="27">
        <v>45958</v>
      </c>
      <c r="E943" s="2"/>
      <c r="F943" s="2" t="s">
        <v>8</v>
      </c>
      <c r="G943" s="24" t="s">
        <v>58</v>
      </c>
    </row>
    <row r="944" spans="1:7" x14ac:dyDescent="0.2">
      <c r="A944" s="2" t="s">
        <v>3263</v>
      </c>
      <c r="B944" s="2" t="s">
        <v>3264</v>
      </c>
      <c r="C944" s="2" t="s">
        <v>61</v>
      </c>
      <c r="D944" s="27">
        <v>45959</v>
      </c>
      <c r="E944" s="2"/>
      <c r="F944" s="2" t="s">
        <v>8</v>
      </c>
      <c r="G944" s="24" t="s">
        <v>3895</v>
      </c>
    </row>
    <row r="945" spans="1:7" x14ac:dyDescent="0.2">
      <c r="A945" s="2" t="s">
        <v>3265</v>
      </c>
      <c r="B945" s="2" t="s">
        <v>3266</v>
      </c>
      <c r="C945" s="2" t="s">
        <v>61</v>
      </c>
      <c r="D945" s="27">
        <v>45940</v>
      </c>
      <c r="E945" s="2"/>
      <c r="F945" s="2" t="s">
        <v>8</v>
      </c>
      <c r="G945" s="24" t="s">
        <v>590</v>
      </c>
    </row>
    <row r="946" spans="1:7" x14ac:dyDescent="0.2">
      <c r="A946" s="2" t="s">
        <v>3267</v>
      </c>
      <c r="B946" s="2" t="s">
        <v>3268</v>
      </c>
      <c r="C946" s="2" t="s">
        <v>61</v>
      </c>
      <c r="D946" s="27">
        <v>45955</v>
      </c>
      <c r="E946" s="2"/>
      <c r="F946" s="2" t="s">
        <v>8</v>
      </c>
      <c r="G946" s="24" t="s">
        <v>1365</v>
      </c>
    </row>
    <row r="947" spans="1:7" x14ac:dyDescent="0.2">
      <c r="A947" s="2" t="s">
        <v>3269</v>
      </c>
      <c r="B947" s="2" t="s">
        <v>3270</v>
      </c>
      <c r="C947" s="2" t="s">
        <v>61</v>
      </c>
      <c r="D947" s="27">
        <v>45958</v>
      </c>
      <c r="E947" s="2"/>
      <c r="F947" s="2" t="s">
        <v>8</v>
      </c>
      <c r="G947" s="24" t="s">
        <v>6</v>
      </c>
    </row>
    <row r="948" spans="1:7" x14ac:dyDescent="0.2">
      <c r="A948" s="2" t="s">
        <v>3271</v>
      </c>
      <c r="B948" s="2" t="s">
        <v>3272</v>
      </c>
      <c r="C948" s="2" t="s">
        <v>61</v>
      </c>
      <c r="D948" s="27">
        <v>45939</v>
      </c>
      <c r="E948" s="2"/>
      <c r="F948" s="2" t="s">
        <v>8</v>
      </c>
      <c r="G948" s="24" t="s">
        <v>590</v>
      </c>
    </row>
    <row r="949" spans="1:7" x14ac:dyDescent="0.2">
      <c r="A949" s="2" t="s">
        <v>3273</v>
      </c>
      <c r="B949" s="2" t="s">
        <v>3274</v>
      </c>
      <c r="C949" s="2" t="s">
        <v>61</v>
      </c>
      <c r="D949" s="27">
        <v>45938</v>
      </c>
      <c r="E949" s="2"/>
      <c r="F949" s="2" t="s">
        <v>8</v>
      </c>
      <c r="G949" s="24" t="s">
        <v>97</v>
      </c>
    </row>
    <row r="950" spans="1:7" x14ac:dyDescent="0.2">
      <c r="A950" s="2" t="s">
        <v>3275</v>
      </c>
      <c r="B950" s="2" t="s">
        <v>3276</v>
      </c>
      <c r="C950" s="2" t="s">
        <v>61</v>
      </c>
      <c r="D950" s="27">
        <v>45936</v>
      </c>
      <c r="E950" s="2"/>
      <c r="F950" s="2" t="s">
        <v>8</v>
      </c>
      <c r="G950" s="24" t="s">
        <v>97</v>
      </c>
    </row>
    <row r="951" spans="1:7" x14ac:dyDescent="0.2">
      <c r="A951" s="2" t="s">
        <v>3277</v>
      </c>
      <c r="B951" s="2" t="s">
        <v>3278</v>
      </c>
      <c r="C951" s="2" t="s">
        <v>61</v>
      </c>
      <c r="D951" s="27">
        <v>45933</v>
      </c>
      <c r="E951" s="2"/>
      <c r="F951" s="2" t="s">
        <v>8</v>
      </c>
      <c r="G951" s="24" t="s">
        <v>97</v>
      </c>
    </row>
    <row r="952" spans="1:7" x14ac:dyDescent="0.2">
      <c r="A952" s="2" t="s">
        <v>3279</v>
      </c>
      <c r="B952" s="2" t="s">
        <v>3280</v>
      </c>
      <c r="C952" s="2" t="s">
        <v>61</v>
      </c>
      <c r="D952" s="27">
        <v>45960</v>
      </c>
      <c r="E952" s="2"/>
      <c r="F952" s="2" t="s">
        <v>8</v>
      </c>
      <c r="G952" s="24" t="s">
        <v>97</v>
      </c>
    </row>
    <row r="953" spans="1:7" x14ac:dyDescent="0.2">
      <c r="A953" s="2" t="s">
        <v>3281</v>
      </c>
      <c r="B953" s="2" t="s">
        <v>3282</v>
      </c>
      <c r="C953" s="2" t="s">
        <v>61</v>
      </c>
      <c r="D953" s="27">
        <v>45953</v>
      </c>
      <c r="E953" s="2"/>
      <c r="F953" s="2" t="s">
        <v>8</v>
      </c>
      <c r="G953" s="24" t="s">
        <v>590</v>
      </c>
    </row>
    <row r="954" spans="1:7" x14ac:dyDescent="0.2">
      <c r="A954" s="2" t="s">
        <v>3283</v>
      </c>
      <c r="B954" s="2" t="s">
        <v>3284</v>
      </c>
      <c r="C954" s="2" t="s">
        <v>61</v>
      </c>
      <c r="D954" s="27">
        <v>45947</v>
      </c>
      <c r="E954" s="2"/>
      <c r="F954" s="2" t="s">
        <v>8</v>
      </c>
      <c r="G954" s="24" t="s">
        <v>590</v>
      </c>
    </row>
    <row r="955" spans="1:7" x14ac:dyDescent="0.2">
      <c r="A955" s="2" t="s">
        <v>3285</v>
      </c>
      <c r="B955" s="2" t="s">
        <v>3286</v>
      </c>
      <c r="C955" s="2" t="s">
        <v>61</v>
      </c>
      <c r="D955" s="27">
        <v>45933</v>
      </c>
      <c r="E955" s="2"/>
      <c r="F955" s="2" t="s">
        <v>8</v>
      </c>
      <c r="G955" s="24" t="s">
        <v>594</v>
      </c>
    </row>
    <row r="956" spans="1:7" x14ac:dyDescent="0.2">
      <c r="A956" s="2" t="s">
        <v>3287</v>
      </c>
      <c r="B956" s="2" t="s">
        <v>3288</v>
      </c>
      <c r="C956" s="2" t="s">
        <v>61</v>
      </c>
      <c r="D956" s="27">
        <v>45936</v>
      </c>
      <c r="E956" s="2"/>
      <c r="F956" s="2" t="s">
        <v>8</v>
      </c>
      <c r="G956" s="24" t="s">
        <v>590</v>
      </c>
    </row>
    <row r="957" spans="1:7" x14ac:dyDescent="0.2">
      <c r="A957" s="2" t="s">
        <v>3289</v>
      </c>
      <c r="B957" s="2" t="s">
        <v>3290</v>
      </c>
      <c r="C957" s="2" t="s">
        <v>61</v>
      </c>
      <c r="D957" s="27">
        <v>45946</v>
      </c>
      <c r="E957" s="2"/>
      <c r="F957" s="2" t="s">
        <v>8</v>
      </c>
      <c r="G957" s="24" t="s">
        <v>590</v>
      </c>
    </row>
    <row r="958" spans="1:7" x14ac:dyDescent="0.2">
      <c r="A958" s="2" t="s">
        <v>3291</v>
      </c>
      <c r="B958" s="2" t="s">
        <v>3292</v>
      </c>
      <c r="C958" s="2" t="s">
        <v>61</v>
      </c>
      <c r="D958" s="27">
        <v>45959</v>
      </c>
      <c r="E958" s="2"/>
      <c r="F958" s="2" t="s">
        <v>8</v>
      </c>
      <c r="G958" s="24" t="s">
        <v>590</v>
      </c>
    </row>
    <row r="959" spans="1:7" x14ac:dyDescent="0.2">
      <c r="A959" s="2" t="s">
        <v>3293</v>
      </c>
      <c r="B959" s="2" t="s">
        <v>3294</v>
      </c>
      <c r="C959" s="2" t="s">
        <v>61</v>
      </c>
      <c r="D959" s="27">
        <v>45932</v>
      </c>
      <c r="E959" s="2"/>
      <c r="F959" s="2" t="s">
        <v>8</v>
      </c>
      <c r="G959" s="24" t="s">
        <v>590</v>
      </c>
    </row>
    <row r="960" spans="1:7" x14ac:dyDescent="0.2">
      <c r="A960" s="2" t="s">
        <v>3295</v>
      </c>
      <c r="B960" s="2" t="s">
        <v>3296</v>
      </c>
      <c r="C960" s="2" t="s">
        <v>61</v>
      </c>
      <c r="D960" s="27">
        <v>45934</v>
      </c>
      <c r="E960" s="2"/>
      <c r="F960" s="2" t="s">
        <v>8</v>
      </c>
      <c r="G960" s="24" t="s">
        <v>1366</v>
      </c>
    </row>
    <row r="961" spans="1:7" x14ac:dyDescent="0.2">
      <c r="A961" s="2" t="s">
        <v>3297</v>
      </c>
      <c r="B961" s="2" t="s">
        <v>3298</v>
      </c>
      <c r="C961" s="2" t="s">
        <v>61</v>
      </c>
      <c r="D961" s="27">
        <v>45961</v>
      </c>
      <c r="E961" s="2"/>
      <c r="F961" s="2" t="s">
        <v>8</v>
      </c>
      <c r="G961" s="24" t="s">
        <v>94</v>
      </c>
    </row>
    <row r="962" spans="1:7" x14ac:dyDescent="0.2">
      <c r="A962" s="2" t="s">
        <v>3299</v>
      </c>
      <c r="B962" s="2" t="s">
        <v>3300</v>
      </c>
      <c r="C962" s="2" t="s">
        <v>61</v>
      </c>
      <c r="D962" s="27">
        <v>45952</v>
      </c>
      <c r="E962" s="2"/>
      <c r="F962" s="2" t="s">
        <v>8</v>
      </c>
      <c r="G962" s="24" t="s">
        <v>19</v>
      </c>
    </row>
    <row r="963" spans="1:7" x14ac:dyDescent="0.2">
      <c r="A963" s="2" t="s">
        <v>3301</v>
      </c>
      <c r="B963" s="2" t="s">
        <v>3302</v>
      </c>
      <c r="C963" s="2" t="s">
        <v>61</v>
      </c>
      <c r="D963" s="27">
        <v>45944</v>
      </c>
      <c r="E963" s="2"/>
      <c r="F963" s="2" t="s">
        <v>8</v>
      </c>
      <c r="G963" s="24" t="s">
        <v>3896</v>
      </c>
    </row>
    <row r="964" spans="1:7" x14ac:dyDescent="0.2">
      <c r="A964" s="2" t="s">
        <v>3303</v>
      </c>
      <c r="B964" s="2" t="s">
        <v>3304</v>
      </c>
      <c r="C964" s="2" t="s">
        <v>61</v>
      </c>
      <c r="D964" s="27">
        <v>45951</v>
      </c>
      <c r="E964" s="2"/>
      <c r="F964" s="2" t="s">
        <v>8</v>
      </c>
      <c r="G964" s="24" t="s">
        <v>3896</v>
      </c>
    </row>
    <row r="965" spans="1:7" x14ac:dyDescent="0.2">
      <c r="A965" s="2" t="s">
        <v>3305</v>
      </c>
      <c r="B965" s="2" t="s">
        <v>3306</v>
      </c>
      <c r="C965" s="2" t="s">
        <v>61</v>
      </c>
      <c r="D965" s="27">
        <v>45937</v>
      </c>
      <c r="E965" s="2"/>
      <c r="F965" s="2" t="s">
        <v>8</v>
      </c>
      <c r="G965" s="24" t="s">
        <v>3896</v>
      </c>
    </row>
    <row r="966" spans="1:7" x14ac:dyDescent="0.2">
      <c r="A966" s="2" t="s">
        <v>3307</v>
      </c>
      <c r="B966" s="2" t="s">
        <v>3308</v>
      </c>
      <c r="C966" s="2" t="s">
        <v>61</v>
      </c>
      <c r="D966" s="27">
        <v>45939</v>
      </c>
      <c r="E966" s="2"/>
      <c r="F966" s="2" t="s">
        <v>8</v>
      </c>
      <c r="G966" s="24" t="s">
        <v>3896</v>
      </c>
    </row>
    <row r="967" spans="1:7" x14ac:dyDescent="0.2">
      <c r="A967" s="2" t="s">
        <v>3309</v>
      </c>
      <c r="B967" s="2" t="s">
        <v>3310</v>
      </c>
      <c r="C967" s="2" t="s">
        <v>61</v>
      </c>
      <c r="D967" s="27">
        <v>45946</v>
      </c>
      <c r="E967" s="2"/>
      <c r="F967" s="2" t="s">
        <v>8</v>
      </c>
      <c r="G967" s="24" t="s">
        <v>79</v>
      </c>
    </row>
    <row r="968" spans="1:7" x14ac:dyDescent="0.2">
      <c r="A968" s="2" t="s">
        <v>3311</v>
      </c>
      <c r="B968" s="2" t="s">
        <v>3312</v>
      </c>
      <c r="C968" s="2" t="s">
        <v>61</v>
      </c>
      <c r="D968" s="27">
        <v>45940</v>
      </c>
      <c r="E968" s="2"/>
      <c r="F968" s="2" t="s">
        <v>8</v>
      </c>
      <c r="G968" s="24" t="s">
        <v>1365</v>
      </c>
    </row>
    <row r="969" spans="1:7" x14ac:dyDescent="0.2">
      <c r="A969" s="2" t="s">
        <v>3313</v>
      </c>
      <c r="B969" s="2" t="s">
        <v>3314</v>
      </c>
      <c r="C969" s="2" t="s">
        <v>61</v>
      </c>
      <c r="D969" s="27">
        <v>45951</v>
      </c>
      <c r="E969" s="2"/>
      <c r="F969" s="2" t="s">
        <v>8</v>
      </c>
      <c r="G969" s="24" t="s">
        <v>1365</v>
      </c>
    </row>
    <row r="970" spans="1:7" x14ac:dyDescent="0.2">
      <c r="A970" s="2" t="s">
        <v>3315</v>
      </c>
      <c r="B970" s="2" t="s">
        <v>3316</v>
      </c>
      <c r="C970" s="2" t="s">
        <v>61</v>
      </c>
      <c r="D970" s="27">
        <v>45951</v>
      </c>
      <c r="E970" s="2"/>
      <c r="F970" s="2" t="s">
        <v>8</v>
      </c>
      <c r="G970" s="24" t="s">
        <v>97</v>
      </c>
    </row>
    <row r="971" spans="1:7" x14ac:dyDescent="0.2">
      <c r="A971" s="2" t="s">
        <v>3317</v>
      </c>
      <c r="B971" s="2" t="s">
        <v>3318</v>
      </c>
      <c r="C971" s="2" t="s">
        <v>61</v>
      </c>
      <c r="D971" s="27">
        <v>45943</v>
      </c>
      <c r="E971" s="2"/>
      <c r="F971" s="2" t="s">
        <v>8</v>
      </c>
      <c r="G971" s="24" t="s">
        <v>1365</v>
      </c>
    </row>
    <row r="972" spans="1:7" x14ac:dyDescent="0.2">
      <c r="A972" s="2" t="s">
        <v>3319</v>
      </c>
      <c r="B972" s="2" t="s">
        <v>3320</v>
      </c>
      <c r="C972" s="2" t="s">
        <v>61</v>
      </c>
      <c r="D972" s="27">
        <v>45952</v>
      </c>
      <c r="E972" s="2"/>
      <c r="F972" s="2" t="s">
        <v>8</v>
      </c>
      <c r="G972" s="24" t="s">
        <v>1365</v>
      </c>
    </row>
    <row r="973" spans="1:7" x14ac:dyDescent="0.2">
      <c r="A973" s="2" t="s">
        <v>3321</v>
      </c>
      <c r="B973" s="2" t="s">
        <v>3322</v>
      </c>
      <c r="C973" s="2" t="s">
        <v>61</v>
      </c>
      <c r="D973" s="27">
        <v>45959</v>
      </c>
      <c r="E973" s="2"/>
      <c r="F973" s="2" t="s">
        <v>8</v>
      </c>
      <c r="G973" s="24" t="s">
        <v>1365</v>
      </c>
    </row>
    <row r="974" spans="1:7" x14ac:dyDescent="0.2">
      <c r="A974" s="2" t="s">
        <v>3323</v>
      </c>
      <c r="B974" s="2" t="s">
        <v>3324</v>
      </c>
      <c r="C974" s="2" t="s">
        <v>61</v>
      </c>
      <c r="D974" s="27">
        <v>45935</v>
      </c>
      <c r="E974" s="2"/>
      <c r="F974" s="2" t="s">
        <v>8</v>
      </c>
      <c r="G974" s="24" t="s">
        <v>1365</v>
      </c>
    </row>
    <row r="975" spans="1:7" x14ac:dyDescent="0.2">
      <c r="A975" s="2" t="s">
        <v>3325</v>
      </c>
      <c r="B975" s="2" t="s">
        <v>3326</v>
      </c>
      <c r="C975" s="2" t="s">
        <v>61</v>
      </c>
      <c r="D975" s="27">
        <v>45951</v>
      </c>
      <c r="E975" s="2"/>
      <c r="F975" s="2" t="s">
        <v>8</v>
      </c>
      <c r="G975" s="24" t="s">
        <v>6</v>
      </c>
    </row>
    <row r="976" spans="1:7" x14ac:dyDescent="0.2">
      <c r="A976" s="2" t="s">
        <v>3327</v>
      </c>
      <c r="B976" s="2" t="s">
        <v>3328</v>
      </c>
      <c r="C976" s="2" t="s">
        <v>61</v>
      </c>
      <c r="D976" s="27">
        <v>45943</v>
      </c>
      <c r="E976" s="2"/>
      <c r="F976" s="2" t="s">
        <v>8</v>
      </c>
      <c r="G976" s="24" t="s">
        <v>6</v>
      </c>
    </row>
    <row r="977" spans="1:7" x14ac:dyDescent="0.2">
      <c r="A977" s="2" t="s">
        <v>3329</v>
      </c>
      <c r="B977" s="2" t="s">
        <v>3330</v>
      </c>
      <c r="C977" s="2" t="s">
        <v>61</v>
      </c>
      <c r="D977" s="27">
        <v>45944</v>
      </c>
      <c r="E977" s="2"/>
      <c r="F977" s="2" t="s">
        <v>8</v>
      </c>
      <c r="G977" s="24" t="s">
        <v>6</v>
      </c>
    </row>
    <row r="978" spans="1:7" x14ac:dyDescent="0.2">
      <c r="A978" s="2" t="s">
        <v>3331</v>
      </c>
      <c r="B978" s="2" t="s">
        <v>3332</v>
      </c>
      <c r="C978" s="2" t="s">
        <v>61</v>
      </c>
      <c r="D978" s="27">
        <v>45951</v>
      </c>
      <c r="E978" s="2"/>
      <c r="F978" s="2" t="s">
        <v>8</v>
      </c>
      <c r="G978" s="24" t="s">
        <v>6</v>
      </c>
    </row>
    <row r="979" spans="1:7" x14ac:dyDescent="0.2">
      <c r="A979" s="2" t="s">
        <v>3333</v>
      </c>
      <c r="B979" s="2" t="s">
        <v>3334</v>
      </c>
      <c r="C979" s="2" t="s">
        <v>61</v>
      </c>
      <c r="D979" s="27">
        <v>45959</v>
      </c>
      <c r="E979" s="2"/>
      <c r="F979" s="2" t="s">
        <v>8</v>
      </c>
      <c r="G979" s="24" t="s">
        <v>6</v>
      </c>
    </row>
    <row r="980" spans="1:7" x14ac:dyDescent="0.2">
      <c r="A980" s="2" t="s">
        <v>3335</v>
      </c>
      <c r="B980" s="2" t="s">
        <v>3336</v>
      </c>
      <c r="C980" s="2" t="s">
        <v>61</v>
      </c>
      <c r="D980" s="27">
        <v>45933</v>
      </c>
      <c r="E980" s="2"/>
      <c r="F980" s="2" t="s">
        <v>8</v>
      </c>
      <c r="G980" s="24" t="s">
        <v>6</v>
      </c>
    </row>
    <row r="981" spans="1:7" x14ac:dyDescent="0.2">
      <c r="A981" s="2" t="s">
        <v>3337</v>
      </c>
      <c r="B981" s="2" t="s">
        <v>3338</v>
      </c>
      <c r="C981" s="2" t="s">
        <v>61</v>
      </c>
      <c r="D981" s="27">
        <v>45951</v>
      </c>
      <c r="E981" s="2"/>
      <c r="F981" s="2" t="s">
        <v>8</v>
      </c>
      <c r="G981" s="24" t="s">
        <v>6</v>
      </c>
    </row>
    <row r="982" spans="1:7" x14ac:dyDescent="0.2">
      <c r="A982" s="2" t="s">
        <v>3339</v>
      </c>
      <c r="B982" s="2" t="s">
        <v>3340</v>
      </c>
      <c r="C982" s="2" t="s">
        <v>61</v>
      </c>
      <c r="D982" s="27">
        <v>45945</v>
      </c>
      <c r="E982" s="2"/>
      <c r="F982" s="2" t="s">
        <v>8</v>
      </c>
      <c r="G982" s="24" t="s">
        <v>6</v>
      </c>
    </row>
    <row r="983" spans="1:7" x14ac:dyDescent="0.2">
      <c r="A983" s="2" t="s">
        <v>3341</v>
      </c>
      <c r="B983" s="2" t="s">
        <v>3342</v>
      </c>
      <c r="C983" s="2" t="s">
        <v>61</v>
      </c>
      <c r="D983" s="27">
        <v>45933</v>
      </c>
      <c r="E983" s="2"/>
      <c r="F983" s="2" t="s">
        <v>8</v>
      </c>
      <c r="G983" s="24" t="s">
        <v>6</v>
      </c>
    </row>
    <row r="984" spans="1:7" x14ac:dyDescent="0.2">
      <c r="A984" s="2" t="s">
        <v>3343</v>
      </c>
      <c r="B984" s="2" t="s">
        <v>3344</v>
      </c>
      <c r="C984" s="2" t="s">
        <v>61</v>
      </c>
      <c r="D984" s="27">
        <v>45932</v>
      </c>
      <c r="E984" s="2"/>
      <c r="F984" s="2" t="s">
        <v>8</v>
      </c>
      <c r="G984" s="24" t="s">
        <v>6</v>
      </c>
    </row>
    <row r="985" spans="1:7" x14ac:dyDescent="0.2">
      <c r="A985" s="2" t="s">
        <v>3345</v>
      </c>
      <c r="B985" s="2" t="s">
        <v>3346</v>
      </c>
      <c r="C985" s="2" t="s">
        <v>61</v>
      </c>
      <c r="D985" s="27">
        <v>45958</v>
      </c>
      <c r="E985" s="2"/>
      <c r="F985" s="2" t="s">
        <v>8</v>
      </c>
      <c r="G985" s="24" t="s">
        <v>6</v>
      </c>
    </row>
    <row r="986" spans="1:7" x14ac:dyDescent="0.2">
      <c r="A986" s="2" t="s">
        <v>3347</v>
      </c>
      <c r="B986" s="2" t="s">
        <v>3348</v>
      </c>
      <c r="C986" s="2" t="s">
        <v>61</v>
      </c>
      <c r="D986" s="27">
        <v>45940</v>
      </c>
      <c r="E986" s="2"/>
      <c r="F986" s="2" t="s">
        <v>8</v>
      </c>
      <c r="G986" s="24" t="s">
        <v>1367</v>
      </c>
    </row>
    <row r="987" spans="1:7" x14ac:dyDescent="0.2">
      <c r="A987" s="2" t="s">
        <v>3349</v>
      </c>
      <c r="B987" s="2" t="s">
        <v>3350</v>
      </c>
      <c r="C987" s="2" t="s">
        <v>61</v>
      </c>
      <c r="D987" s="27">
        <v>45958</v>
      </c>
      <c r="E987" s="2"/>
      <c r="F987" s="2" t="s">
        <v>8</v>
      </c>
      <c r="G987" s="24" t="s">
        <v>79</v>
      </c>
    </row>
    <row r="988" spans="1:7" x14ac:dyDescent="0.2">
      <c r="A988" s="2" t="s">
        <v>3351</v>
      </c>
      <c r="B988" s="2" t="s">
        <v>3352</v>
      </c>
      <c r="C988" s="2" t="s">
        <v>61</v>
      </c>
      <c r="D988" s="27">
        <v>45957</v>
      </c>
      <c r="E988" s="2"/>
      <c r="F988" s="2" t="s">
        <v>8</v>
      </c>
      <c r="G988" s="24" t="s">
        <v>593</v>
      </c>
    </row>
    <row r="989" spans="1:7" x14ac:dyDescent="0.2">
      <c r="A989" s="2" t="s">
        <v>3353</v>
      </c>
      <c r="B989" s="2" t="s">
        <v>3354</v>
      </c>
      <c r="C989" s="2" t="s">
        <v>61</v>
      </c>
      <c r="D989" s="27">
        <v>45939</v>
      </c>
      <c r="E989" s="2"/>
      <c r="F989" s="2" t="s">
        <v>8</v>
      </c>
      <c r="G989" s="24" t="s">
        <v>593</v>
      </c>
    </row>
    <row r="990" spans="1:7" x14ac:dyDescent="0.2">
      <c r="A990" s="2" t="s">
        <v>3355</v>
      </c>
      <c r="B990" s="2" t="s">
        <v>3356</v>
      </c>
      <c r="C990" s="2" t="s">
        <v>61</v>
      </c>
      <c r="D990" s="27">
        <v>45931</v>
      </c>
      <c r="E990" s="2"/>
      <c r="F990" s="2" t="s">
        <v>8</v>
      </c>
      <c r="G990" s="24" t="s">
        <v>66</v>
      </c>
    </row>
    <row r="991" spans="1:7" x14ac:dyDescent="0.2">
      <c r="A991" s="2" t="s">
        <v>3357</v>
      </c>
      <c r="B991" s="2" t="s">
        <v>3358</v>
      </c>
      <c r="C991" s="2" t="s">
        <v>61</v>
      </c>
      <c r="D991" s="27">
        <v>45945</v>
      </c>
      <c r="E991" s="2"/>
      <c r="F991" s="2" t="s">
        <v>8</v>
      </c>
      <c r="G991" s="24" t="s">
        <v>593</v>
      </c>
    </row>
    <row r="992" spans="1:7" x14ac:dyDescent="0.2">
      <c r="A992" s="2" t="s">
        <v>3359</v>
      </c>
      <c r="B992" s="2" t="s">
        <v>3360</v>
      </c>
      <c r="C992" s="2" t="s">
        <v>61</v>
      </c>
      <c r="D992" s="27">
        <v>45933</v>
      </c>
      <c r="E992" s="2"/>
      <c r="F992" s="2" t="s">
        <v>8</v>
      </c>
      <c r="G992" s="24" t="s">
        <v>1367</v>
      </c>
    </row>
    <row r="993" spans="1:7" x14ac:dyDescent="0.2">
      <c r="A993" s="2" t="s">
        <v>3361</v>
      </c>
      <c r="B993" s="2" t="s">
        <v>3362</v>
      </c>
      <c r="C993" s="2" t="s">
        <v>61</v>
      </c>
      <c r="D993" s="27">
        <v>45951</v>
      </c>
      <c r="E993" s="2"/>
      <c r="F993" s="2" t="s">
        <v>8</v>
      </c>
      <c r="G993" s="24" t="s">
        <v>593</v>
      </c>
    </row>
    <row r="994" spans="1:7" x14ac:dyDescent="0.2">
      <c r="A994" s="2" t="s">
        <v>3363</v>
      </c>
      <c r="B994" s="2" t="s">
        <v>3364</v>
      </c>
      <c r="C994" s="2" t="s">
        <v>61</v>
      </c>
      <c r="D994" s="27">
        <v>45940</v>
      </c>
      <c r="E994" s="2"/>
      <c r="F994" s="2" t="s">
        <v>8</v>
      </c>
      <c r="G994" s="24" t="s">
        <v>593</v>
      </c>
    </row>
    <row r="995" spans="1:7" x14ac:dyDescent="0.2">
      <c r="A995" s="2" t="s">
        <v>3365</v>
      </c>
      <c r="B995" s="2" t="s">
        <v>3366</v>
      </c>
      <c r="C995" s="2" t="s">
        <v>61</v>
      </c>
      <c r="D995" s="27">
        <v>45950</v>
      </c>
      <c r="E995" s="2"/>
      <c r="F995" s="2" t="s">
        <v>8</v>
      </c>
      <c r="G995" s="24" t="s">
        <v>1369</v>
      </c>
    </row>
    <row r="996" spans="1:7" x14ac:dyDescent="0.2">
      <c r="A996" s="2" t="s">
        <v>3367</v>
      </c>
      <c r="B996" s="2" t="s">
        <v>93</v>
      </c>
      <c r="C996" s="2" t="s">
        <v>61</v>
      </c>
      <c r="D996" s="27">
        <v>45940</v>
      </c>
      <c r="E996" s="2"/>
      <c r="F996" s="2" t="s">
        <v>8</v>
      </c>
      <c r="G996" s="24" t="s">
        <v>595</v>
      </c>
    </row>
    <row r="997" spans="1:7" x14ac:dyDescent="0.2">
      <c r="A997" s="2" t="s">
        <v>3368</v>
      </c>
      <c r="B997" s="2" t="s">
        <v>3369</v>
      </c>
      <c r="C997" s="2" t="s">
        <v>61</v>
      </c>
      <c r="D997" s="27">
        <v>45958</v>
      </c>
      <c r="E997" s="2"/>
      <c r="F997" s="2" t="s">
        <v>8</v>
      </c>
      <c r="G997" s="24" t="s">
        <v>3896</v>
      </c>
    </row>
    <row r="998" spans="1:7" x14ac:dyDescent="0.2">
      <c r="A998" s="2" t="s">
        <v>3370</v>
      </c>
      <c r="B998" s="2" t="s">
        <v>3371</v>
      </c>
      <c r="C998" s="2" t="s">
        <v>61</v>
      </c>
      <c r="D998" s="27">
        <v>45946</v>
      </c>
      <c r="E998" s="2"/>
      <c r="F998" s="2" t="s">
        <v>8</v>
      </c>
      <c r="G998" s="24" t="s">
        <v>3896</v>
      </c>
    </row>
    <row r="999" spans="1:7" x14ac:dyDescent="0.2">
      <c r="A999" s="2" t="s">
        <v>3372</v>
      </c>
      <c r="B999" s="2" t="s">
        <v>3373</v>
      </c>
      <c r="C999" s="2" t="s">
        <v>61</v>
      </c>
      <c r="D999" s="27">
        <v>45939</v>
      </c>
      <c r="E999" s="2"/>
      <c r="F999" s="2" t="s">
        <v>8</v>
      </c>
      <c r="G999" s="24" t="s">
        <v>1367</v>
      </c>
    </row>
    <row r="1000" spans="1:7" x14ac:dyDescent="0.2">
      <c r="A1000" s="2" t="s">
        <v>3374</v>
      </c>
      <c r="B1000" s="2" t="s">
        <v>3375</v>
      </c>
      <c r="C1000" s="2" t="s">
        <v>61</v>
      </c>
      <c r="D1000" s="27">
        <v>45936</v>
      </c>
      <c r="E1000" s="2"/>
      <c r="F1000" s="2" t="s">
        <v>8</v>
      </c>
      <c r="G1000" s="24" t="s">
        <v>96</v>
      </c>
    </row>
    <row r="1001" spans="1:7" x14ac:dyDescent="0.2">
      <c r="A1001" s="2" t="s">
        <v>3376</v>
      </c>
      <c r="B1001" s="2" t="s">
        <v>3377</v>
      </c>
      <c r="C1001" s="2" t="s">
        <v>61</v>
      </c>
      <c r="D1001" s="27">
        <v>45953</v>
      </c>
      <c r="E1001" s="2"/>
      <c r="F1001" s="2" t="s">
        <v>8</v>
      </c>
      <c r="G1001" s="24" t="s">
        <v>96</v>
      </c>
    </row>
    <row r="1002" spans="1:7" x14ac:dyDescent="0.2">
      <c r="A1002" s="2" t="s">
        <v>3378</v>
      </c>
      <c r="B1002" s="2" t="s">
        <v>3379</v>
      </c>
      <c r="C1002" s="2" t="s">
        <v>61</v>
      </c>
      <c r="D1002" s="27">
        <v>45957</v>
      </c>
      <c r="E1002" s="2"/>
      <c r="F1002" s="2" t="s">
        <v>8</v>
      </c>
      <c r="G1002" s="24" t="s">
        <v>96</v>
      </c>
    </row>
    <row r="1003" spans="1:7" x14ac:dyDescent="0.2">
      <c r="A1003" s="2" t="s">
        <v>3380</v>
      </c>
      <c r="B1003" s="2" t="s">
        <v>3381</v>
      </c>
      <c r="C1003" s="2" t="s">
        <v>61</v>
      </c>
      <c r="D1003" s="27">
        <v>45938</v>
      </c>
      <c r="E1003" s="2"/>
      <c r="F1003" s="2" t="s">
        <v>8</v>
      </c>
      <c r="G1003" s="24" t="s">
        <v>96</v>
      </c>
    </row>
    <row r="1004" spans="1:7" x14ac:dyDescent="0.2">
      <c r="A1004" s="2" t="s">
        <v>3382</v>
      </c>
      <c r="B1004" s="2" t="s">
        <v>3383</v>
      </c>
      <c r="C1004" s="2" t="s">
        <v>61</v>
      </c>
      <c r="D1004" s="27">
        <v>45938</v>
      </c>
      <c r="E1004" s="2"/>
      <c r="F1004" s="2" t="s">
        <v>8</v>
      </c>
      <c r="G1004" s="24" t="s">
        <v>96</v>
      </c>
    </row>
    <row r="1005" spans="1:7" x14ac:dyDescent="0.2">
      <c r="A1005" s="2" t="s">
        <v>3384</v>
      </c>
      <c r="B1005" s="2" t="s">
        <v>3385</v>
      </c>
      <c r="C1005" s="2" t="s">
        <v>61</v>
      </c>
      <c r="D1005" s="27">
        <v>45939</v>
      </c>
      <c r="E1005" s="2"/>
      <c r="F1005" s="2" t="s">
        <v>8</v>
      </c>
      <c r="G1005" s="24" t="s">
        <v>79</v>
      </c>
    </row>
    <row r="1006" spans="1:7" x14ac:dyDescent="0.2">
      <c r="A1006" s="2" t="s">
        <v>3386</v>
      </c>
      <c r="B1006" s="2" t="s">
        <v>3387</v>
      </c>
      <c r="C1006" s="2" t="s">
        <v>61</v>
      </c>
      <c r="D1006" s="27">
        <v>45945</v>
      </c>
      <c r="E1006" s="2"/>
      <c r="F1006" s="2" t="s">
        <v>8</v>
      </c>
      <c r="G1006" s="24" t="s">
        <v>66</v>
      </c>
    </row>
    <row r="1007" spans="1:7" x14ac:dyDescent="0.2">
      <c r="A1007" s="2" t="s">
        <v>3388</v>
      </c>
      <c r="B1007" s="2" t="s">
        <v>3389</v>
      </c>
      <c r="C1007" s="2" t="s">
        <v>61</v>
      </c>
      <c r="D1007" s="27">
        <v>45937</v>
      </c>
      <c r="E1007" s="2"/>
      <c r="F1007" s="2" t="s">
        <v>8</v>
      </c>
      <c r="G1007" s="24" t="s">
        <v>593</v>
      </c>
    </row>
    <row r="1008" spans="1:7" x14ac:dyDescent="0.2">
      <c r="A1008" s="2" t="s">
        <v>3390</v>
      </c>
      <c r="B1008" s="2" t="s">
        <v>3391</v>
      </c>
      <c r="C1008" s="2" t="s">
        <v>61</v>
      </c>
      <c r="D1008" s="27">
        <v>45946</v>
      </c>
      <c r="E1008" s="2"/>
      <c r="F1008" s="2" t="s">
        <v>8</v>
      </c>
      <c r="G1008" s="24" t="s">
        <v>65</v>
      </c>
    </row>
    <row r="1009" spans="1:7" x14ac:dyDescent="0.2">
      <c r="A1009" s="2" t="s">
        <v>3392</v>
      </c>
      <c r="B1009" s="2" t="s">
        <v>3393</v>
      </c>
      <c r="C1009" s="2" t="s">
        <v>61</v>
      </c>
      <c r="D1009" s="27">
        <v>45953</v>
      </c>
      <c r="E1009" s="2"/>
      <c r="F1009" s="2" t="s">
        <v>8</v>
      </c>
      <c r="G1009" s="24" t="s">
        <v>65</v>
      </c>
    </row>
    <row r="1010" spans="1:7" x14ac:dyDescent="0.2">
      <c r="A1010" s="2" t="s">
        <v>3394</v>
      </c>
      <c r="B1010" s="2" t="s">
        <v>3395</v>
      </c>
      <c r="C1010" s="2" t="s">
        <v>61</v>
      </c>
      <c r="D1010" s="27">
        <v>45953</v>
      </c>
      <c r="E1010" s="2"/>
      <c r="F1010" s="2" t="s">
        <v>8</v>
      </c>
      <c r="G1010" s="24" t="s">
        <v>65</v>
      </c>
    </row>
    <row r="1011" spans="1:7" x14ac:dyDescent="0.2">
      <c r="A1011" s="2" t="s">
        <v>3396</v>
      </c>
      <c r="B1011" s="2" t="s">
        <v>3397</v>
      </c>
      <c r="C1011" s="2" t="s">
        <v>61</v>
      </c>
      <c r="D1011" s="27">
        <v>45954</v>
      </c>
      <c r="E1011" s="2"/>
      <c r="F1011" s="2" t="s">
        <v>8</v>
      </c>
      <c r="G1011" s="24" t="s">
        <v>65</v>
      </c>
    </row>
    <row r="1012" spans="1:7" x14ac:dyDescent="0.2">
      <c r="A1012" s="2" t="s">
        <v>3398</v>
      </c>
      <c r="B1012" s="2" t="s">
        <v>3399</v>
      </c>
      <c r="C1012" s="2" t="s">
        <v>61</v>
      </c>
      <c r="D1012" s="27">
        <v>45940</v>
      </c>
      <c r="E1012" s="2"/>
      <c r="F1012" s="2" t="s">
        <v>8</v>
      </c>
      <c r="G1012" s="24" t="s">
        <v>65</v>
      </c>
    </row>
    <row r="1013" spans="1:7" x14ac:dyDescent="0.2">
      <c r="A1013" s="2" t="s">
        <v>3400</v>
      </c>
      <c r="B1013" s="2" t="s">
        <v>3401</v>
      </c>
      <c r="C1013" s="2" t="s">
        <v>61</v>
      </c>
      <c r="D1013" s="27">
        <v>45951</v>
      </c>
      <c r="E1013" s="2"/>
      <c r="F1013" s="2" t="s">
        <v>8</v>
      </c>
      <c r="G1013" s="24" t="s">
        <v>65</v>
      </c>
    </row>
    <row r="1014" spans="1:7" x14ac:dyDescent="0.2">
      <c r="A1014" s="2" t="s">
        <v>3402</v>
      </c>
      <c r="B1014" s="2" t="s">
        <v>3403</v>
      </c>
      <c r="C1014" s="2" t="s">
        <v>61</v>
      </c>
      <c r="D1014" s="27">
        <v>45954</v>
      </c>
      <c r="E1014" s="2"/>
      <c r="F1014" s="2" t="s">
        <v>8</v>
      </c>
      <c r="G1014" s="24" t="s">
        <v>65</v>
      </c>
    </row>
    <row r="1015" spans="1:7" x14ac:dyDescent="0.2">
      <c r="A1015" s="2" t="s">
        <v>3404</v>
      </c>
      <c r="B1015" s="2" t="s">
        <v>3405</v>
      </c>
      <c r="C1015" s="2" t="s">
        <v>61</v>
      </c>
      <c r="D1015" s="27">
        <v>45937</v>
      </c>
      <c r="E1015" s="2"/>
      <c r="F1015" s="2" t="s">
        <v>8</v>
      </c>
      <c r="G1015" s="24" t="s">
        <v>79</v>
      </c>
    </row>
    <row r="1016" spans="1:7" x14ac:dyDescent="0.2">
      <c r="A1016" s="2" t="s">
        <v>3406</v>
      </c>
      <c r="B1016" s="2" t="s">
        <v>3407</v>
      </c>
      <c r="C1016" s="2" t="s">
        <v>61</v>
      </c>
      <c r="D1016" s="27">
        <v>45950</v>
      </c>
      <c r="E1016" s="2"/>
      <c r="F1016" s="2" t="s">
        <v>8</v>
      </c>
      <c r="G1016" s="24" t="s">
        <v>79</v>
      </c>
    </row>
    <row r="1017" spans="1:7" x14ac:dyDescent="0.2">
      <c r="A1017" s="2" t="s">
        <v>3408</v>
      </c>
      <c r="B1017" s="2" t="s">
        <v>3409</v>
      </c>
      <c r="C1017" s="2" t="s">
        <v>61</v>
      </c>
      <c r="D1017" s="27">
        <v>45931</v>
      </c>
      <c r="E1017" s="2"/>
      <c r="F1017" s="2" t="s">
        <v>8</v>
      </c>
      <c r="G1017" s="24" t="s">
        <v>79</v>
      </c>
    </row>
    <row r="1018" spans="1:7" x14ac:dyDescent="0.2">
      <c r="A1018" s="2" t="s">
        <v>3410</v>
      </c>
      <c r="B1018" s="2" t="s">
        <v>3411</v>
      </c>
      <c r="C1018" s="2" t="s">
        <v>61</v>
      </c>
      <c r="D1018" s="27">
        <v>45953</v>
      </c>
      <c r="E1018" s="2"/>
      <c r="F1018" s="2" t="s">
        <v>8</v>
      </c>
      <c r="G1018" s="24" t="s">
        <v>96</v>
      </c>
    </row>
    <row r="1019" spans="1:7" x14ac:dyDescent="0.2">
      <c r="A1019" s="2" t="s">
        <v>3412</v>
      </c>
      <c r="B1019" s="2" t="s">
        <v>3413</v>
      </c>
      <c r="C1019" s="2" t="s">
        <v>61</v>
      </c>
      <c r="D1019" s="27">
        <v>45951</v>
      </c>
      <c r="E1019" s="2"/>
      <c r="F1019" s="2" t="s">
        <v>8</v>
      </c>
      <c r="G1019" s="24" t="s">
        <v>79</v>
      </c>
    </row>
    <row r="1020" spans="1:7" x14ac:dyDescent="0.2">
      <c r="A1020" s="2" t="s">
        <v>3414</v>
      </c>
      <c r="B1020" s="2" t="s">
        <v>3415</v>
      </c>
      <c r="C1020" s="2" t="s">
        <v>61</v>
      </c>
      <c r="D1020" s="27">
        <v>45951</v>
      </c>
      <c r="E1020" s="2"/>
      <c r="F1020" s="2" t="s">
        <v>8</v>
      </c>
      <c r="G1020" s="24" t="s">
        <v>594</v>
      </c>
    </row>
    <row r="1021" spans="1:7" x14ac:dyDescent="0.2">
      <c r="A1021" s="2" t="s">
        <v>3416</v>
      </c>
      <c r="B1021" s="2" t="s">
        <v>3417</v>
      </c>
      <c r="C1021" s="2" t="s">
        <v>61</v>
      </c>
      <c r="D1021" s="27">
        <v>45954</v>
      </c>
      <c r="E1021" s="2"/>
      <c r="F1021" s="2" t="s">
        <v>8</v>
      </c>
      <c r="G1021" s="24" t="s">
        <v>1367</v>
      </c>
    </row>
    <row r="1022" spans="1:7" x14ac:dyDescent="0.2">
      <c r="A1022" s="2" t="s">
        <v>3418</v>
      </c>
      <c r="B1022" s="2" t="s">
        <v>3419</v>
      </c>
      <c r="C1022" s="2" t="s">
        <v>61</v>
      </c>
      <c r="D1022" s="27">
        <v>45938</v>
      </c>
      <c r="E1022" s="2"/>
      <c r="F1022" s="2" t="s">
        <v>8</v>
      </c>
      <c r="G1022" s="24" t="s">
        <v>3901</v>
      </c>
    </row>
    <row r="1023" spans="1:7" x14ac:dyDescent="0.2">
      <c r="A1023" s="2" t="s">
        <v>3420</v>
      </c>
      <c r="B1023" s="2" t="s">
        <v>3421</v>
      </c>
      <c r="C1023" s="2" t="s">
        <v>61</v>
      </c>
      <c r="D1023" s="27">
        <v>45951</v>
      </c>
      <c r="E1023" s="2"/>
      <c r="F1023" s="2" t="s">
        <v>8</v>
      </c>
      <c r="G1023" s="24" t="s">
        <v>95</v>
      </c>
    </row>
    <row r="1024" spans="1:7" x14ac:dyDescent="0.2">
      <c r="A1024" s="2" t="s">
        <v>3422</v>
      </c>
      <c r="B1024" s="2" t="s">
        <v>3423</v>
      </c>
      <c r="C1024" s="2" t="s">
        <v>61</v>
      </c>
      <c r="D1024" s="27">
        <v>45933</v>
      </c>
      <c r="E1024" s="2"/>
      <c r="F1024" s="2" t="s">
        <v>8</v>
      </c>
      <c r="G1024" s="24" t="s">
        <v>95</v>
      </c>
    </row>
    <row r="1025" spans="1:7" x14ac:dyDescent="0.2">
      <c r="A1025" s="2" t="s">
        <v>3424</v>
      </c>
      <c r="B1025" s="2" t="s">
        <v>3425</v>
      </c>
      <c r="C1025" s="2" t="s">
        <v>61</v>
      </c>
      <c r="D1025" s="27">
        <v>45952</v>
      </c>
      <c r="E1025" s="2"/>
      <c r="F1025" s="2" t="s">
        <v>8</v>
      </c>
      <c r="G1025" s="24" t="s">
        <v>58</v>
      </c>
    </row>
    <row r="1026" spans="1:7" x14ac:dyDescent="0.2">
      <c r="A1026" s="2" t="s">
        <v>3426</v>
      </c>
      <c r="B1026" s="2" t="s">
        <v>3427</v>
      </c>
      <c r="C1026" s="2" t="s">
        <v>61</v>
      </c>
      <c r="D1026" s="27">
        <v>45931</v>
      </c>
      <c r="E1026" s="2"/>
      <c r="F1026" s="2" t="s">
        <v>8</v>
      </c>
      <c r="G1026" s="24" t="s">
        <v>58</v>
      </c>
    </row>
    <row r="1027" spans="1:7" x14ac:dyDescent="0.2">
      <c r="A1027" s="2" t="s">
        <v>3428</v>
      </c>
      <c r="B1027" s="2" t="s">
        <v>3429</v>
      </c>
      <c r="C1027" s="2" t="s">
        <v>61</v>
      </c>
      <c r="D1027" s="27">
        <v>45939</v>
      </c>
      <c r="E1027" s="2"/>
      <c r="F1027" s="2" t="s">
        <v>8</v>
      </c>
      <c r="G1027" s="24" t="s">
        <v>58</v>
      </c>
    </row>
    <row r="1028" spans="1:7" x14ac:dyDescent="0.2">
      <c r="A1028" s="2" t="s">
        <v>3430</v>
      </c>
      <c r="B1028" s="2" t="s">
        <v>3431</v>
      </c>
      <c r="C1028" s="2" t="s">
        <v>61</v>
      </c>
      <c r="D1028" s="27">
        <v>45953</v>
      </c>
      <c r="E1028" s="2"/>
      <c r="F1028" s="2" t="s">
        <v>8</v>
      </c>
      <c r="G1028" s="24" t="s">
        <v>58</v>
      </c>
    </row>
    <row r="1029" spans="1:7" x14ac:dyDescent="0.2">
      <c r="A1029" s="2" t="s">
        <v>3432</v>
      </c>
      <c r="B1029" s="2" t="s">
        <v>3433</v>
      </c>
      <c r="C1029" s="2" t="s">
        <v>61</v>
      </c>
      <c r="D1029" s="27">
        <v>45945</v>
      </c>
      <c r="E1029" s="2"/>
      <c r="F1029" s="2" t="s">
        <v>8</v>
      </c>
      <c r="G1029" s="24" t="s">
        <v>58</v>
      </c>
    </row>
    <row r="1030" spans="1:7" x14ac:dyDescent="0.2">
      <c r="A1030" s="2" t="s">
        <v>3434</v>
      </c>
      <c r="B1030" s="2" t="s">
        <v>3435</v>
      </c>
      <c r="C1030" s="2" t="s">
        <v>61</v>
      </c>
      <c r="D1030" s="27">
        <v>45939</v>
      </c>
      <c r="E1030" s="2"/>
      <c r="F1030" s="2" t="s">
        <v>8</v>
      </c>
      <c r="G1030" s="24" t="s">
        <v>58</v>
      </c>
    </row>
    <row r="1031" spans="1:7" x14ac:dyDescent="0.2">
      <c r="A1031" s="2" t="s">
        <v>3436</v>
      </c>
      <c r="B1031" s="2" t="s">
        <v>3437</v>
      </c>
      <c r="C1031" s="2" t="s">
        <v>61</v>
      </c>
      <c r="D1031" s="27">
        <v>45938</v>
      </c>
      <c r="E1031" s="2"/>
      <c r="F1031" s="2" t="s">
        <v>8</v>
      </c>
      <c r="G1031" s="24" t="s">
        <v>58</v>
      </c>
    </row>
    <row r="1032" spans="1:7" x14ac:dyDescent="0.2">
      <c r="A1032" s="2" t="s">
        <v>3438</v>
      </c>
      <c r="B1032" s="2" t="s">
        <v>3439</v>
      </c>
      <c r="C1032" s="2" t="s">
        <v>61</v>
      </c>
      <c r="D1032" s="27">
        <v>45953</v>
      </c>
      <c r="E1032" s="2"/>
      <c r="F1032" s="2" t="s">
        <v>8</v>
      </c>
      <c r="G1032" s="24" t="s">
        <v>58</v>
      </c>
    </row>
    <row r="1033" spans="1:7" x14ac:dyDescent="0.2">
      <c r="A1033" s="2" t="s">
        <v>3440</v>
      </c>
      <c r="B1033" s="2" t="s">
        <v>3441</v>
      </c>
      <c r="C1033" s="2" t="s">
        <v>61</v>
      </c>
      <c r="D1033" s="27">
        <v>45957</v>
      </c>
      <c r="E1033" s="2"/>
      <c r="F1033" s="2" t="s">
        <v>8</v>
      </c>
      <c r="G1033" s="24" t="s">
        <v>591</v>
      </c>
    </row>
    <row r="1034" spans="1:7" x14ac:dyDescent="0.2">
      <c r="A1034" s="2" t="s">
        <v>3442</v>
      </c>
      <c r="B1034" s="2" t="s">
        <v>3443</v>
      </c>
      <c r="C1034" s="2" t="s">
        <v>61</v>
      </c>
      <c r="D1034" s="27">
        <v>45933</v>
      </c>
      <c r="E1034" s="2"/>
      <c r="F1034" s="2" t="s">
        <v>8</v>
      </c>
      <c r="G1034" s="24" t="s">
        <v>59</v>
      </c>
    </row>
    <row r="1035" spans="1:7" x14ac:dyDescent="0.2">
      <c r="A1035" s="2" t="s">
        <v>3444</v>
      </c>
      <c r="B1035" s="2" t="s">
        <v>3445</v>
      </c>
      <c r="C1035" s="2" t="s">
        <v>61</v>
      </c>
      <c r="D1035" s="27">
        <v>45933</v>
      </c>
      <c r="E1035" s="2"/>
      <c r="F1035" s="2" t="s">
        <v>8</v>
      </c>
      <c r="G1035" s="24" t="s">
        <v>591</v>
      </c>
    </row>
    <row r="1036" spans="1:7" x14ac:dyDescent="0.2">
      <c r="A1036" s="2" t="s">
        <v>3446</v>
      </c>
      <c r="B1036" s="2" t="s">
        <v>3447</v>
      </c>
      <c r="C1036" s="2" t="s">
        <v>61</v>
      </c>
      <c r="D1036" s="27">
        <v>45938</v>
      </c>
      <c r="E1036" s="2"/>
      <c r="F1036" s="2" t="s">
        <v>8</v>
      </c>
      <c r="G1036" s="24" t="s">
        <v>591</v>
      </c>
    </row>
    <row r="1037" spans="1:7" x14ac:dyDescent="0.2">
      <c r="A1037" s="2" t="s">
        <v>3448</v>
      </c>
      <c r="B1037" s="2" t="s">
        <v>3449</v>
      </c>
      <c r="C1037" s="2" t="s">
        <v>61</v>
      </c>
      <c r="D1037" s="27">
        <v>45933</v>
      </c>
      <c r="E1037" s="2"/>
      <c r="F1037" s="2" t="s">
        <v>8</v>
      </c>
      <c r="G1037" s="24" t="s">
        <v>59</v>
      </c>
    </row>
    <row r="1038" spans="1:7" x14ac:dyDescent="0.2">
      <c r="A1038" s="2" t="s">
        <v>3450</v>
      </c>
      <c r="B1038" s="2" t="s">
        <v>3451</v>
      </c>
      <c r="C1038" s="2" t="s">
        <v>61</v>
      </c>
      <c r="D1038" s="27">
        <v>45953</v>
      </c>
      <c r="E1038" s="2"/>
      <c r="F1038" s="2" t="s">
        <v>8</v>
      </c>
      <c r="G1038" s="24" t="s">
        <v>79</v>
      </c>
    </row>
    <row r="1039" spans="1:7" x14ac:dyDescent="0.2">
      <c r="A1039" s="2" t="s">
        <v>3452</v>
      </c>
      <c r="B1039" s="2" t="s">
        <v>3453</v>
      </c>
      <c r="C1039" s="2" t="s">
        <v>61</v>
      </c>
      <c r="D1039" s="27">
        <v>45954</v>
      </c>
      <c r="E1039" s="2"/>
      <c r="F1039" s="2" t="s">
        <v>8</v>
      </c>
      <c r="G1039" s="24" t="s">
        <v>593</v>
      </c>
    </row>
    <row r="1040" spans="1:7" x14ac:dyDescent="0.2">
      <c r="A1040" s="2" t="s">
        <v>3454</v>
      </c>
      <c r="B1040" s="2" t="s">
        <v>3455</v>
      </c>
      <c r="C1040" s="2" t="s">
        <v>61</v>
      </c>
      <c r="D1040" s="27">
        <v>45954</v>
      </c>
      <c r="E1040" s="2"/>
      <c r="F1040" s="2" t="s">
        <v>8</v>
      </c>
      <c r="G1040" s="24" t="s">
        <v>3895</v>
      </c>
    </row>
    <row r="1041" spans="1:7" x14ac:dyDescent="0.2">
      <c r="A1041" s="2" t="s">
        <v>3456</v>
      </c>
      <c r="B1041" s="2" t="s">
        <v>3457</v>
      </c>
      <c r="C1041" s="2" t="s">
        <v>61</v>
      </c>
      <c r="D1041" s="27">
        <v>45957</v>
      </c>
      <c r="E1041" s="2"/>
      <c r="F1041" s="2" t="s">
        <v>8</v>
      </c>
      <c r="G1041" s="24" t="s">
        <v>3895</v>
      </c>
    </row>
    <row r="1042" spans="1:7" x14ac:dyDescent="0.2">
      <c r="A1042" s="2" t="s">
        <v>3458</v>
      </c>
      <c r="B1042" s="2" t="s">
        <v>3459</v>
      </c>
      <c r="C1042" s="2" t="s">
        <v>61</v>
      </c>
      <c r="D1042" s="27">
        <v>45940</v>
      </c>
      <c r="E1042" s="2"/>
      <c r="F1042" s="2" t="s">
        <v>8</v>
      </c>
      <c r="G1042" s="24" t="s">
        <v>3895</v>
      </c>
    </row>
    <row r="1043" spans="1:7" x14ac:dyDescent="0.2">
      <c r="A1043" s="2" t="s">
        <v>3460</v>
      </c>
      <c r="B1043" s="2" t="s">
        <v>3461</v>
      </c>
      <c r="C1043" s="2" t="s">
        <v>61</v>
      </c>
      <c r="D1043" s="27">
        <v>45959</v>
      </c>
      <c r="E1043" s="2"/>
      <c r="F1043" s="2" t="s">
        <v>8</v>
      </c>
      <c r="G1043" s="24" t="s">
        <v>3895</v>
      </c>
    </row>
    <row r="1044" spans="1:7" x14ac:dyDescent="0.2">
      <c r="A1044" s="2" t="s">
        <v>3462</v>
      </c>
      <c r="B1044" s="2" t="s">
        <v>3463</v>
      </c>
      <c r="C1044" s="2" t="s">
        <v>61</v>
      </c>
      <c r="D1044" s="27">
        <v>45940</v>
      </c>
      <c r="E1044" s="2"/>
      <c r="F1044" s="2" t="s">
        <v>8</v>
      </c>
      <c r="G1044" s="24" t="s">
        <v>3895</v>
      </c>
    </row>
    <row r="1045" spans="1:7" x14ac:dyDescent="0.2">
      <c r="A1045" s="2" t="s">
        <v>3464</v>
      </c>
      <c r="B1045" s="2" t="s">
        <v>3465</v>
      </c>
      <c r="C1045" s="2" t="s">
        <v>61</v>
      </c>
      <c r="D1045" s="27">
        <v>45932</v>
      </c>
      <c r="E1045" s="2"/>
      <c r="F1045" s="2" t="s">
        <v>8</v>
      </c>
      <c r="G1045" s="24" t="s">
        <v>3895</v>
      </c>
    </row>
    <row r="1046" spans="1:7" x14ac:dyDescent="0.2">
      <c r="A1046" s="2" t="s">
        <v>3466</v>
      </c>
      <c r="B1046" s="2" t="s">
        <v>3467</v>
      </c>
      <c r="C1046" s="2" t="s">
        <v>61</v>
      </c>
      <c r="D1046" s="27">
        <v>45959</v>
      </c>
      <c r="E1046" s="2"/>
      <c r="F1046" s="2" t="s">
        <v>8</v>
      </c>
      <c r="G1046" s="24" t="s">
        <v>3895</v>
      </c>
    </row>
    <row r="1047" spans="1:7" x14ac:dyDescent="0.2">
      <c r="A1047" s="2" t="s">
        <v>3468</v>
      </c>
      <c r="B1047" s="2" t="s">
        <v>3469</v>
      </c>
      <c r="C1047" s="2" t="s">
        <v>61</v>
      </c>
      <c r="D1047" s="27">
        <v>45944</v>
      </c>
      <c r="E1047" s="2"/>
      <c r="F1047" s="2" t="s">
        <v>8</v>
      </c>
      <c r="G1047" s="24" t="s">
        <v>58</v>
      </c>
    </row>
    <row r="1048" spans="1:7" x14ac:dyDescent="0.2">
      <c r="A1048" s="2" t="s">
        <v>3470</v>
      </c>
      <c r="B1048" s="2" t="s">
        <v>3471</v>
      </c>
      <c r="C1048" s="2" t="s">
        <v>61</v>
      </c>
      <c r="D1048" s="27">
        <v>45950</v>
      </c>
      <c r="E1048" s="2"/>
      <c r="F1048" s="2" t="s">
        <v>8</v>
      </c>
      <c r="G1048" s="24" t="s">
        <v>3895</v>
      </c>
    </row>
    <row r="1049" spans="1:7" x14ac:dyDescent="0.2">
      <c r="A1049" s="2" t="s">
        <v>3472</v>
      </c>
      <c r="B1049" s="2" t="s">
        <v>3473</v>
      </c>
      <c r="C1049" s="2" t="s">
        <v>61</v>
      </c>
      <c r="D1049" s="27">
        <v>45959</v>
      </c>
      <c r="E1049" s="2"/>
      <c r="F1049" s="2" t="s">
        <v>8</v>
      </c>
      <c r="G1049" s="24" t="s">
        <v>3895</v>
      </c>
    </row>
    <row r="1050" spans="1:7" x14ac:dyDescent="0.2">
      <c r="A1050" s="2" t="s">
        <v>3474</v>
      </c>
      <c r="B1050" s="2" t="s">
        <v>3475</v>
      </c>
      <c r="C1050" s="2" t="s">
        <v>61</v>
      </c>
      <c r="D1050" s="27">
        <v>45945</v>
      </c>
      <c r="E1050" s="2"/>
      <c r="F1050" s="2" t="s">
        <v>8</v>
      </c>
      <c r="G1050" s="24" t="s">
        <v>97</v>
      </c>
    </row>
    <row r="1051" spans="1:7" x14ac:dyDescent="0.2">
      <c r="A1051" s="2" t="s">
        <v>3476</v>
      </c>
      <c r="B1051" s="2" t="s">
        <v>3477</v>
      </c>
      <c r="C1051" s="2" t="s">
        <v>61</v>
      </c>
      <c r="D1051" s="27">
        <v>45946</v>
      </c>
      <c r="E1051" s="2"/>
      <c r="F1051" s="2" t="s">
        <v>8</v>
      </c>
      <c r="G1051" s="24" t="s">
        <v>79</v>
      </c>
    </row>
    <row r="1052" spans="1:7" x14ac:dyDescent="0.2">
      <c r="A1052" s="2" t="s">
        <v>3478</v>
      </c>
      <c r="B1052" s="2" t="s">
        <v>3479</v>
      </c>
      <c r="C1052" s="2" t="s">
        <v>61</v>
      </c>
      <c r="D1052" s="27">
        <v>45957</v>
      </c>
      <c r="E1052" s="2"/>
      <c r="F1052" s="2" t="s">
        <v>8</v>
      </c>
      <c r="G1052" s="24" t="s">
        <v>3896</v>
      </c>
    </row>
    <row r="1053" spans="1:7" x14ac:dyDescent="0.2">
      <c r="A1053" s="2" t="s">
        <v>3480</v>
      </c>
      <c r="B1053" s="2" t="s">
        <v>3481</v>
      </c>
      <c r="C1053" s="2" t="s">
        <v>61</v>
      </c>
      <c r="D1053" s="27">
        <v>45943</v>
      </c>
      <c r="E1053" s="2"/>
      <c r="F1053" s="2" t="s">
        <v>8</v>
      </c>
      <c r="G1053" s="24" t="s">
        <v>1365</v>
      </c>
    </row>
    <row r="1054" spans="1:7" x14ac:dyDescent="0.2">
      <c r="A1054" s="2" t="s">
        <v>3482</v>
      </c>
      <c r="B1054" s="2" t="s">
        <v>3483</v>
      </c>
      <c r="C1054" s="2" t="s">
        <v>61</v>
      </c>
      <c r="D1054" s="27">
        <v>45944</v>
      </c>
      <c r="E1054" s="2"/>
      <c r="F1054" s="2" t="s">
        <v>8</v>
      </c>
      <c r="G1054" s="24" t="s">
        <v>1365</v>
      </c>
    </row>
    <row r="1055" spans="1:7" x14ac:dyDescent="0.2">
      <c r="A1055" s="2" t="s">
        <v>3484</v>
      </c>
      <c r="B1055" s="2" t="s">
        <v>3485</v>
      </c>
      <c r="C1055" s="2" t="s">
        <v>61</v>
      </c>
      <c r="D1055" s="27">
        <v>45944</v>
      </c>
      <c r="E1055" s="2"/>
      <c r="F1055" s="2" t="s">
        <v>8</v>
      </c>
      <c r="G1055" s="24" t="s">
        <v>1365</v>
      </c>
    </row>
    <row r="1056" spans="1:7" x14ac:dyDescent="0.2">
      <c r="A1056" s="2" t="s">
        <v>3486</v>
      </c>
      <c r="B1056" s="2" t="s">
        <v>3487</v>
      </c>
      <c r="C1056" s="2" t="s">
        <v>61</v>
      </c>
      <c r="D1056" s="27">
        <v>45946</v>
      </c>
      <c r="E1056" s="2"/>
      <c r="F1056" s="2" t="s">
        <v>8</v>
      </c>
      <c r="G1056" s="24" t="s">
        <v>95</v>
      </c>
    </row>
    <row r="1057" spans="1:7" x14ac:dyDescent="0.2">
      <c r="A1057" s="2" t="s">
        <v>3488</v>
      </c>
      <c r="B1057" s="2" t="s">
        <v>3489</v>
      </c>
      <c r="C1057" s="2" t="s">
        <v>61</v>
      </c>
      <c r="D1057" s="27">
        <v>45951</v>
      </c>
      <c r="E1057" s="2"/>
      <c r="F1057" s="2" t="s">
        <v>8</v>
      </c>
      <c r="G1057" s="24" t="s">
        <v>6</v>
      </c>
    </row>
    <row r="1058" spans="1:7" x14ac:dyDescent="0.2">
      <c r="A1058" s="2" t="s">
        <v>3490</v>
      </c>
      <c r="B1058" s="2" t="s">
        <v>3491</v>
      </c>
      <c r="C1058" s="2" t="s">
        <v>61</v>
      </c>
      <c r="D1058" s="27">
        <v>45940</v>
      </c>
      <c r="E1058" s="2"/>
      <c r="F1058" s="2" t="s">
        <v>8</v>
      </c>
      <c r="G1058" s="24" t="s">
        <v>6</v>
      </c>
    </row>
    <row r="1059" spans="1:7" x14ac:dyDescent="0.2">
      <c r="A1059" s="2" t="s">
        <v>3492</v>
      </c>
      <c r="B1059" s="2" t="s">
        <v>3493</v>
      </c>
      <c r="C1059" s="2" t="s">
        <v>61</v>
      </c>
      <c r="D1059" s="27">
        <v>45947</v>
      </c>
      <c r="E1059" s="2"/>
      <c r="F1059" s="2" t="s">
        <v>8</v>
      </c>
      <c r="G1059" s="24" t="s">
        <v>593</v>
      </c>
    </row>
    <row r="1060" spans="1:7" x14ac:dyDescent="0.2">
      <c r="A1060" s="2" t="s">
        <v>3494</v>
      </c>
      <c r="B1060" s="2" t="s">
        <v>3495</v>
      </c>
      <c r="C1060" s="2" t="s">
        <v>61</v>
      </c>
      <c r="D1060" s="27">
        <v>45953</v>
      </c>
      <c r="E1060" s="2"/>
      <c r="F1060" s="2" t="s">
        <v>8</v>
      </c>
      <c r="G1060" s="24" t="s">
        <v>1367</v>
      </c>
    </row>
    <row r="1061" spans="1:7" x14ac:dyDescent="0.2">
      <c r="A1061" s="2" t="s">
        <v>3496</v>
      </c>
      <c r="B1061" s="2" t="s">
        <v>3497</v>
      </c>
      <c r="C1061" s="2" t="s">
        <v>61</v>
      </c>
      <c r="D1061" s="27">
        <v>45945</v>
      </c>
      <c r="E1061" s="2"/>
      <c r="F1061" s="2" t="s">
        <v>8</v>
      </c>
      <c r="G1061" s="24" t="s">
        <v>1368</v>
      </c>
    </row>
    <row r="1062" spans="1:7" x14ac:dyDescent="0.2">
      <c r="A1062" s="2" t="s">
        <v>3498</v>
      </c>
      <c r="B1062" s="2" t="s">
        <v>3499</v>
      </c>
      <c r="C1062" s="2" t="s">
        <v>61</v>
      </c>
      <c r="D1062" s="27">
        <v>45961</v>
      </c>
      <c r="E1062" s="2"/>
      <c r="F1062" s="2" t="s">
        <v>8</v>
      </c>
      <c r="G1062" s="24" t="s">
        <v>1367</v>
      </c>
    </row>
    <row r="1063" spans="1:7" x14ac:dyDescent="0.2">
      <c r="A1063" s="2" t="s">
        <v>3500</v>
      </c>
      <c r="B1063" s="2" t="s">
        <v>3501</v>
      </c>
      <c r="C1063" s="2" t="s">
        <v>61</v>
      </c>
      <c r="D1063" s="27">
        <v>45957</v>
      </c>
      <c r="E1063" s="2"/>
      <c r="F1063" s="2" t="s">
        <v>8</v>
      </c>
      <c r="G1063" s="24" t="s">
        <v>593</v>
      </c>
    </row>
    <row r="1064" spans="1:7" x14ac:dyDescent="0.2">
      <c r="A1064" s="2" t="s">
        <v>3502</v>
      </c>
      <c r="B1064" s="2" t="s">
        <v>3503</v>
      </c>
      <c r="C1064" s="2" t="s">
        <v>61</v>
      </c>
      <c r="D1064" s="27">
        <v>45957</v>
      </c>
      <c r="E1064" s="2"/>
      <c r="F1064" s="2" t="s">
        <v>8</v>
      </c>
      <c r="G1064" s="24" t="s">
        <v>1367</v>
      </c>
    </row>
    <row r="1065" spans="1:7" x14ac:dyDescent="0.2">
      <c r="A1065" s="2" t="s">
        <v>3504</v>
      </c>
      <c r="B1065" s="2" t="s">
        <v>3505</v>
      </c>
      <c r="C1065" s="2" t="s">
        <v>61</v>
      </c>
      <c r="D1065" s="27">
        <v>45931</v>
      </c>
      <c r="E1065" s="2"/>
      <c r="F1065" s="2" t="s">
        <v>8</v>
      </c>
      <c r="G1065" s="24" t="s">
        <v>96</v>
      </c>
    </row>
    <row r="1066" spans="1:7" x14ac:dyDescent="0.2">
      <c r="A1066" s="2" t="s">
        <v>3506</v>
      </c>
      <c r="B1066" s="2" t="s">
        <v>3507</v>
      </c>
      <c r="C1066" s="2" t="s">
        <v>61</v>
      </c>
      <c r="D1066" s="27">
        <v>45953</v>
      </c>
      <c r="E1066" s="2"/>
      <c r="F1066" s="2" t="s">
        <v>8</v>
      </c>
      <c r="G1066" s="24" t="s">
        <v>96</v>
      </c>
    </row>
    <row r="1067" spans="1:7" x14ac:dyDescent="0.2">
      <c r="A1067" s="2" t="s">
        <v>3508</v>
      </c>
      <c r="B1067" s="2" t="s">
        <v>3509</v>
      </c>
      <c r="C1067" s="2" t="s">
        <v>61</v>
      </c>
      <c r="D1067" s="27">
        <v>45941</v>
      </c>
      <c r="E1067" s="2"/>
      <c r="F1067" s="2" t="s">
        <v>8</v>
      </c>
      <c r="G1067" s="24" t="s">
        <v>59</v>
      </c>
    </row>
    <row r="1068" spans="1:7" x14ac:dyDescent="0.2">
      <c r="A1068" s="2" t="s">
        <v>3510</v>
      </c>
      <c r="B1068" s="2" t="s">
        <v>3511</v>
      </c>
      <c r="C1068" s="2" t="s">
        <v>61</v>
      </c>
      <c r="D1068" s="27">
        <v>45959</v>
      </c>
      <c r="E1068" s="2"/>
      <c r="F1068" s="2" t="s">
        <v>8</v>
      </c>
      <c r="G1068" s="24" t="s">
        <v>65</v>
      </c>
    </row>
    <row r="1069" spans="1:7" x14ac:dyDescent="0.2">
      <c r="A1069" s="2" t="s">
        <v>3512</v>
      </c>
      <c r="B1069" s="2" t="s">
        <v>3513</v>
      </c>
      <c r="C1069" s="2" t="s">
        <v>61</v>
      </c>
      <c r="D1069" s="27">
        <v>45940</v>
      </c>
      <c r="E1069" s="2"/>
      <c r="F1069" s="2" t="s">
        <v>8</v>
      </c>
      <c r="G1069" s="24" t="s">
        <v>65</v>
      </c>
    </row>
    <row r="1070" spans="1:7" x14ac:dyDescent="0.2">
      <c r="A1070" s="2" t="s">
        <v>3514</v>
      </c>
      <c r="B1070" s="2" t="s">
        <v>3515</v>
      </c>
      <c r="C1070" s="2" t="s">
        <v>61</v>
      </c>
      <c r="D1070" s="27">
        <v>45957</v>
      </c>
      <c r="E1070" s="2"/>
      <c r="F1070" s="2" t="s">
        <v>8</v>
      </c>
      <c r="G1070" s="24" t="s">
        <v>79</v>
      </c>
    </row>
    <row r="1071" spans="1:7" x14ac:dyDescent="0.2">
      <c r="A1071" s="2" t="s">
        <v>3516</v>
      </c>
      <c r="B1071" s="2" t="s">
        <v>3517</v>
      </c>
      <c r="C1071" s="2" t="s">
        <v>61</v>
      </c>
      <c r="D1071" s="27">
        <v>45944</v>
      </c>
      <c r="E1071" s="2"/>
      <c r="F1071" s="2" t="s">
        <v>8</v>
      </c>
      <c r="G1071" s="24" t="s">
        <v>79</v>
      </c>
    </row>
    <row r="1072" spans="1:7" x14ac:dyDescent="0.2">
      <c r="A1072" s="2" t="s">
        <v>3518</v>
      </c>
      <c r="B1072" s="2" t="s">
        <v>3519</v>
      </c>
      <c r="C1072" s="2" t="s">
        <v>61</v>
      </c>
      <c r="D1072" s="27">
        <v>45934</v>
      </c>
      <c r="E1072" s="2"/>
      <c r="F1072" s="2" t="s">
        <v>8</v>
      </c>
      <c r="G1072" s="24" t="s">
        <v>79</v>
      </c>
    </row>
    <row r="1073" spans="1:7" x14ac:dyDescent="0.2">
      <c r="A1073" s="2" t="s">
        <v>3520</v>
      </c>
      <c r="B1073" s="2" t="s">
        <v>3521</v>
      </c>
      <c r="C1073" s="2" t="s">
        <v>61</v>
      </c>
      <c r="D1073" s="27">
        <v>45938</v>
      </c>
      <c r="E1073" s="2"/>
      <c r="F1073" s="2" t="s">
        <v>8</v>
      </c>
      <c r="G1073" s="24" t="s">
        <v>58</v>
      </c>
    </row>
    <row r="1074" spans="1:7" x14ac:dyDescent="0.2">
      <c r="A1074" s="2" t="s">
        <v>3522</v>
      </c>
      <c r="B1074" s="2" t="s">
        <v>3523</v>
      </c>
      <c r="C1074" s="2" t="s">
        <v>61</v>
      </c>
      <c r="D1074" s="27">
        <v>45939</v>
      </c>
      <c r="E1074" s="2"/>
      <c r="F1074" s="2" t="s">
        <v>8</v>
      </c>
      <c r="G1074" s="24" t="s">
        <v>95</v>
      </c>
    </row>
    <row r="1075" spans="1:7" x14ac:dyDescent="0.2">
      <c r="A1075" s="2" t="s">
        <v>3524</v>
      </c>
      <c r="B1075" s="2" t="s">
        <v>3525</v>
      </c>
      <c r="C1075" s="2" t="s">
        <v>61</v>
      </c>
      <c r="D1075" s="27">
        <v>45952</v>
      </c>
      <c r="E1075" s="2"/>
      <c r="F1075" s="2" t="s">
        <v>8</v>
      </c>
      <c r="G1075" s="24" t="s">
        <v>3901</v>
      </c>
    </row>
    <row r="1076" spans="1:7" x14ac:dyDescent="0.2">
      <c r="A1076" s="2" t="s">
        <v>3526</v>
      </c>
      <c r="B1076" s="2" t="s">
        <v>3527</v>
      </c>
      <c r="C1076" s="2" t="s">
        <v>61</v>
      </c>
      <c r="D1076" s="27">
        <v>45953</v>
      </c>
      <c r="E1076" s="2"/>
      <c r="F1076" s="2" t="s">
        <v>8</v>
      </c>
      <c r="G1076" s="24" t="s">
        <v>95</v>
      </c>
    </row>
    <row r="1077" spans="1:7" x14ac:dyDescent="0.2">
      <c r="A1077" s="2" t="s">
        <v>3528</v>
      </c>
      <c r="B1077" s="2" t="s">
        <v>3529</v>
      </c>
      <c r="C1077" s="2" t="s">
        <v>61</v>
      </c>
      <c r="D1077" s="27">
        <v>45953</v>
      </c>
      <c r="E1077" s="2"/>
      <c r="F1077" s="2" t="s">
        <v>8</v>
      </c>
      <c r="G1077" s="24" t="s">
        <v>58</v>
      </c>
    </row>
    <row r="1078" spans="1:7" x14ac:dyDescent="0.2">
      <c r="A1078" s="2" t="s">
        <v>3530</v>
      </c>
      <c r="B1078" s="2" t="s">
        <v>3531</v>
      </c>
      <c r="C1078" s="2" t="s">
        <v>61</v>
      </c>
      <c r="D1078" s="27">
        <v>45951</v>
      </c>
      <c r="E1078" s="2"/>
      <c r="F1078" s="2" t="s">
        <v>8</v>
      </c>
      <c r="G1078" s="24" t="s">
        <v>58</v>
      </c>
    </row>
    <row r="1079" spans="1:7" x14ac:dyDescent="0.2">
      <c r="A1079" s="2" t="s">
        <v>3532</v>
      </c>
      <c r="B1079" s="2" t="s">
        <v>3533</v>
      </c>
      <c r="C1079" s="2" t="s">
        <v>61</v>
      </c>
      <c r="D1079" s="27">
        <v>45932</v>
      </c>
      <c r="E1079" s="2"/>
      <c r="F1079" s="2" t="s">
        <v>8</v>
      </c>
      <c r="G1079" s="24" t="s">
        <v>59</v>
      </c>
    </row>
    <row r="1080" spans="1:7" x14ac:dyDescent="0.2">
      <c r="A1080" s="2" t="s">
        <v>3534</v>
      </c>
      <c r="B1080" s="2" t="s">
        <v>3535</v>
      </c>
      <c r="C1080" s="2" t="s">
        <v>61</v>
      </c>
      <c r="D1080" s="27">
        <v>45960</v>
      </c>
      <c r="E1080" s="2"/>
      <c r="F1080" s="2" t="s">
        <v>8</v>
      </c>
      <c r="G1080" s="24" t="s">
        <v>591</v>
      </c>
    </row>
    <row r="1081" spans="1:7" x14ac:dyDescent="0.2">
      <c r="A1081" s="2" t="s">
        <v>3536</v>
      </c>
      <c r="B1081" s="2" t="s">
        <v>3537</v>
      </c>
      <c r="C1081" s="2" t="s">
        <v>61</v>
      </c>
      <c r="D1081" s="27">
        <v>45958</v>
      </c>
      <c r="E1081" s="2"/>
      <c r="F1081" s="2" t="s">
        <v>8</v>
      </c>
      <c r="G1081" s="24" t="s">
        <v>3895</v>
      </c>
    </row>
    <row r="1082" spans="1:7" x14ac:dyDescent="0.2">
      <c r="A1082" s="2" t="s">
        <v>3538</v>
      </c>
      <c r="B1082" s="2" t="s">
        <v>3539</v>
      </c>
      <c r="C1082" s="2" t="s">
        <v>61</v>
      </c>
      <c r="D1082" s="27">
        <v>45954</v>
      </c>
      <c r="E1082" s="2"/>
      <c r="F1082" s="2" t="s">
        <v>8</v>
      </c>
      <c r="G1082" s="24" t="s">
        <v>3895</v>
      </c>
    </row>
    <row r="1083" spans="1:7" x14ac:dyDescent="0.2">
      <c r="A1083" s="2" t="s">
        <v>3540</v>
      </c>
      <c r="B1083" s="2" t="s">
        <v>3541</v>
      </c>
      <c r="C1083" s="2" t="s">
        <v>61</v>
      </c>
      <c r="D1083" s="27">
        <v>45944</v>
      </c>
      <c r="E1083" s="2"/>
      <c r="F1083" s="2" t="s">
        <v>8</v>
      </c>
      <c r="G1083" s="24" t="s">
        <v>97</v>
      </c>
    </row>
    <row r="1084" spans="1:7" x14ac:dyDescent="0.2">
      <c r="A1084" s="2" t="s">
        <v>3542</v>
      </c>
      <c r="B1084" s="2" t="s">
        <v>3543</v>
      </c>
      <c r="C1084" s="2" t="s">
        <v>61</v>
      </c>
      <c r="D1084" s="27">
        <v>45958</v>
      </c>
      <c r="E1084" s="2"/>
      <c r="F1084" s="2" t="s">
        <v>8</v>
      </c>
      <c r="G1084" s="24" t="s">
        <v>3894</v>
      </c>
    </row>
    <row r="1085" spans="1:7" x14ac:dyDescent="0.2">
      <c r="A1085" s="2" t="s">
        <v>3544</v>
      </c>
      <c r="B1085" s="2" t="s">
        <v>3545</v>
      </c>
      <c r="C1085" s="2" t="s">
        <v>61</v>
      </c>
      <c r="D1085" s="27">
        <v>45943</v>
      </c>
      <c r="E1085" s="2"/>
      <c r="F1085" s="2" t="s">
        <v>8</v>
      </c>
      <c r="G1085" s="24" t="s">
        <v>1365</v>
      </c>
    </row>
    <row r="1086" spans="1:7" x14ac:dyDescent="0.2">
      <c r="A1086" s="2" t="s">
        <v>3546</v>
      </c>
      <c r="B1086" s="2" t="s">
        <v>3547</v>
      </c>
      <c r="C1086" s="2" t="s">
        <v>61</v>
      </c>
      <c r="D1086" s="27">
        <v>45951</v>
      </c>
      <c r="E1086" s="2"/>
      <c r="F1086" s="2" t="s">
        <v>8</v>
      </c>
      <c r="G1086" s="24" t="s">
        <v>1365</v>
      </c>
    </row>
    <row r="1087" spans="1:7" x14ac:dyDescent="0.2">
      <c r="A1087" s="2" t="s">
        <v>3548</v>
      </c>
      <c r="B1087" s="2" t="s">
        <v>3549</v>
      </c>
      <c r="C1087" s="2" t="s">
        <v>61</v>
      </c>
      <c r="D1087" s="27">
        <v>45959</v>
      </c>
      <c r="E1087" s="2"/>
      <c r="F1087" s="2" t="s">
        <v>8</v>
      </c>
      <c r="G1087" s="24" t="s">
        <v>6</v>
      </c>
    </row>
    <row r="1088" spans="1:7" x14ac:dyDescent="0.2">
      <c r="A1088" s="2" t="s">
        <v>3550</v>
      </c>
      <c r="B1088" s="2" t="s">
        <v>3551</v>
      </c>
      <c r="C1088" s="2" t="s">
        <v>61</v>
      </c>
      <c r="D1088" s="27">
        <v>45950</v>
      </c>
      <c r="E1088" s="2"/>
      <c r="F1088" s="2" t="s">
        <v>8</v>
      </c>
      <c r="G1088" s="24" t="s">
        <v>6</v>
      </c>
    </row>
    <row r="1089" spans="1:7" x14ac:dyDescent="0.2">
      <c r="A1089" s="2" t="s">
        <v>3552</v>
      </c>
      <c r="B1089" s="2" t="s">
        <v>3553</v>
      </c>
      <c r="C1089" s="2" t="s">
        <v>61</v>
      </c>
      <c r="D1089" s="27">
        <v>45947</v>
      </c>
      <c r="E1089" s="2"/>
      <c r="F1089" s="2" t="s">
        <v>8</v>
      </c>
      <c r="G1089" s="24" t="s">
        <v>6</v>
      </c>
    </row>
    <row r="1090" spans="1:7" x14ac:dyDescent="0.2">
      <c r="A1090" s="2" t="s">
        <v>3554</v>
      </c>
      <c r="B1090" s="2" t="s">
        <v>3555</v>
      </c>
      <c r="C1090" s="2" t="s">
        <v>61</v>
      </c>
      <c r="D1090" s="27">
        <v>45960</v>
      </c>
      <c r="E1090" s="2"/>
      <c r="F1090" s="2" t="s">
        <v>8</v>
      </c>
      <c r="G1090" s="24" t="s">
        <v>593</v>
      </c>
    </row>
    <row r="1091" spans="1:7" x14ac:dyDescent="0.2">
      <c r="A1091" s="2" t="s">
        <v>3556</v>
      </c>
      <c r="B1091" s="2" t="s">
        <v>3557</v>
      </c>
      <c r="C1091" s="2" t="s">
        <v>61</v>
      </c>
      <c r="D1091" s="27">
        <v>45931</v>
      </c>
      <c r="E1091" s="2"/>
      <c r="F1091" s="2" t="s">
        <v>8</v>
      </c>
      <c r="G1091" s="24" t="s">
        <v>96</v>
      </c>
    </row>
    <row r="1092" spans="1:7" x14ac:dyDescent="0.2">
      <c r="A1092" s="2" t="s">
        <v>3558</v>
      </c>
      <c r="B1092" s="2" t="s">
        <v>3559</v>
      </c>
      <c r="C1092" s="2" t="s">
        <v>61</v>
      </c>
      <c r="D1092" s="27">
        <v>45947</v>
      </c>
      <c r="E1092" s="2"/>
      <c r="F1092" s="2" t="s">
        <v>8</v>
      </c>
      <c r="G1092" s="24" t="s">
        <v>1367</v>
      </c>
    </row>
    <row r="1093" spans="1:7" x14ac:dyDescent="0.2">
      <c r="A1093" s="2" t="s">
        <v>3560</v>
      </c>
      <c r="B1093" s="2" t="s">
        <v>3561</v>
      </c>
      <c r="C1093" s="2" t="s">
        <v>61</v>
      </c>
      <c r="D1093" s="27">
        <v>45957</v>
      </c>
      <c r="E1093" s="2"/>
      <c r="F1093" s="2" t="s">
        <v>8</v>
      </c>
      <c r="G1093" s="24" t="s">
        <v>96</v>
      </c>
    </row>
    <row r="1094" spans="1:7" x14ac:dyDescent="0.2">
      <c r="A1094" s="2" t="s">
        <v>3562</v>
      </c>
      <c r="B1094" s="2" t="s">
        <v>3563</v>
      </c>
      <c r="C1094" s="2" t="s">
        <v>61</v>
      </c>
      <c r="D1094" s="27">
        <v>45950</v>
      </c>
      <c r="E1094" s="2"/>
      <c r="F1094" s="2" t="s">
        <v>8</v>
      </c>
      <c r="G1094" s="24" t="s">
        <v>96</v>
      </c>
    </row>
    <row r="1095" spans="1:7" x14ac:dyDescent="0.2">
      <c r="A1095" s="2" t="s">
        <v>3564</v>
      </c>
      <c r="B1095" s="2" t="s">
        <v>3565</v>
      </c>
      <c r="C1095" s="2" t="s">
        <v>61</v>
      </c>
      <c r="D1095" s="27">
        <v>45932</v>
      </c>
      <c r="E1095" s="2"/>
      <c r="F1095" s="2" t="s">
        <v>8</v>
      </c>
      <c r="G1095" s="24" t="s">
        <v>96</v>
      </c>
    </row>
    <row r="1096" spans="1:7" x14ac:dyDescent="0.2">
      <c r="A1096" s="2" t="s">
        <v>3566</v>
      </c>
      <c r="B1096" s="2" t="s">
        <v>3567</v>
      </c>
      <c r="C1096" s="2" t="s">
        <v>61</v>
      </c>
      <c r="D1096" s="27">
        <v>45932</v>
      </c>
      <c r="E1096" s="2"/>
      <c r="F1096" s="2" t="s">
        <v>8</v>
      </c>
      <c r="G1096" s="24" t="s">
        <v>96</v>
      </c>
    </row>
    <row r="1097" spans="1:7" x14ac:dyDescent="0.2">
      <c r="A1097" s="2" t="s">
        <v>3568</v>
      </c>
      <c r="B1097" s="2" t="s">
        <v>3569</v>
      </c>
      <c r="C1097" s="2" t="s">
        <v>61</v>
      </c>
      <c r="D1097" s="27">
        <v>45954</v>
      </c>
      <c r="E1097" s="2"/>
      <c r="F1097" s="2" t="s">
        <v>8</v>
      </c>
      <c r="G1097" s="24" t="s">
        <v>96</v>
      </c>
    </row>
    <row r="1098" spans="1:7" x14ac:dyDescent="0.2">
      <c r="A1098" s="2" t="s">
        <v>3570</v>
      </c>
      <c r="B1098" s="2" t="s">
        <v>3571</v>
      </c>
      <c r="C1098" s="2" t="s">
        <v>61</v>
      </c>
      <c r="D1098" s="27">
        <v>45953</v>
      </c>
      <c r="E1098" s="2"/>
      <c r="F1098" s="2" t="s">
        <v>8</v>
      </c>
      <c r="G1098" s="24" t="s">
        <v>97</v>
      </c>
    </row>
    <row r="1099" spans="1:7" x14ac:dyDescent="0.2">
      <c r="A1099" s="2" t="s">
        <v>3572</v>
      </c>
      <c r="B1099" s="2" t="s">
        <v>3573</v>
      </c>
      <c r="C1099" s="2" t="s">
        <v>61</v>
      </c>
      <c r="D1099" s="27">
        <v>45957</v>
      </c>
      <c r="E1099" s="2"/>
      <c r="F1099" s="2" t="s">
        <v>8</v>
      </c>
      <c r="G1099" s="24" t="s">
        <v>95</v>
      </c>
    </row>
    <row r="1100" spans="1:7" x14ac:dyDescent="0.2">
      <c r="A1100" s="2" t="s">
        <v>3574</v>
      </c>
      <c r="B1100" s="2" t="s">
        <v>3575</v>
      </c>
      <c r="C1100" s="2" t="s">
        <v>61</v>
      </c>
      <c r="D1100" s="27">
        <v>45947</v>
      </c>
      <c r="E1100" s="2"/>
      <c r="F1100" s="2" t="s">
        <v>8</v>
      </c>
      <c r="G1100" s="24" t="s">
        <v>95</v>
      </c>
    </row>
    <row r="1101" spans="1:7" x14ac:dyDescent="0.2">
      <c r="A1101" s="2" t="s">
        <v>3576</v>
      </c>
      <c r="B1101" s="2" t="s">
        <v>3577</v>
      </c>
      <c r="C1101" s="2" t="s">
        <v>61</v>
      </c>
      <c r="D1101" s="27">
        <v>45938</v>
      </c>
      <c r="E1101" s="2"/>
      <c r="F1101" s="2" t="s">
        <v>8</v>
      </c>
      <c r="G1101" s="24" t="s">
        <v>591</v>
      </c>
    </row>
    <row r="1102" spans="1:7" x14ac:dyDescent="0.2">
      <c r="A1102" s="2" t="s">
        <v>3578</v>
      </c>
      <c r="B1102" s="2" t="s">
        <v>3579</v>
      </c>
      <c r="C1102" s="2" t="s">
        <v>61</v>
      </c>
      <c r="D1102" s="27">
        <v>45959</v>
      </c>
      <c r="E1102" s="2"/>
      <c r="F1102" s="2" t="s">
        <v>8</v>
      </c>
      <c r="G1102" s="24" t="s">
        <v>1367</v>
      </c>
    </row>
    <row r="1103" spans="1:7" x14ac:dyDescent="0.2">
      <c r="A1103" s="2" t="s">
        <v>3580</v>
      </c>
      <c r="B1103" s="2" t="s">
        <v>3581</v>
      </c>
      <c r="C1103" s="2" t="s">
        <v>61</v>
      </c>
      <c r="D1103" s="27">
        <v>45958</v>
      </c>
      <c r="E1103" s="2"/>
      <c r="F1103" s="2" t="s">
        <v>8</v>
      </c>
      <c r="G1103" s="24" t="s">
        <v>591</v>
      </c>
    </row>
    <row r="1104" spans="1:7" x14ac:dyDescent="0.2">
      <c r="A1104" s="2" t="s">
        <v>3582</v>
      </c>
      <c r="B1104" s="2" t="s">
        <v>3583</v>
      </c>
      <c r="C1104" s="2" t="s">
        <v>61</v>
      </c>
      <c r="D1104" s="27">
        <v>45959</v>
      </c>
      <c r="E1104" s="2"/>
      <c r="F1104" s="2" t="s">
        <v>8</v>
      </c>
      <c r="G1104" s="24" t="s">
        <v>65</v>
      </c>
    </row>
    <row r="1105" spans="1:7" x14ac:dyDescent="0.2">
      <c r="A1105" s="2" t="s">
        <v>3584</v>
      </c>
      <c r="B1105" s="2" t="s">
        <v>3585</v>
      </c>
      <c r="C1105" s="2" t="s">
        <v>61</v>
      </c>
      <c r="D1105" s="27">
        <v>45958</v>
      </c>
      <c r="E1105" s="2"/>
      <c r="F1105" s="2" t="s">
        <v>8</v>
      </c>
      <c r="G1105" s="24" t="s">
        <v>3895</v>
      </c>
    </row>
    <row r="1106" spans="1:7" x14ac:dyDescent="0.2">
      <c r="A1106" s="2" t="s">
        <v>3586</v>
      </c>
      <c r="B1106" s="2" t="s">
        <v>3587</v>
      </c>
      <c r="C1106" s="2" t="s">
        <v>61</v>
      </c>
      <c r="D1106" s="27">
        <v>45958</v>
      </c>
      <c r="E1106" s="2"/>
      <c r="F1106" s="2" t="s">
        <v>8</v>
      </c>
      <c r="G1106" s="24" t="s">
        <v>3895</v>
      </c>
    </row>
    <row r="1107" spans="1:7" x14ac:dyDescent="0.2">
      <c r="A1107" s="2" t="s">
        <v>3588</v>
      </c>
      <c r="B1107" s="2" t="s">
        <v>3589</v>
      </c>
      <c r="C1107" s="2" t="s">
        <v>61</v>
      </c>
      <c r="D1107" s="27">
        <v>45959</v>
      </c>
      <c r="E1107" s="2"/>
      <c r="F1107" s="2" t="s">
        <v>8</v>
      </c>
      <c r="G1107" s="24" t="s">
        <v>3895</v>
      </c>
    </row>
    <row r="1108" spans="1:7" x14ac:dyDescent="0.2">
      <c r="A1108" s="2" t="s">
        <v>3590</v>
      </c>
      <c r="B1108" s="2" t="s">
        <v>3591</v>
      </c>
      <c r="C1108" s="2" t="s">
        <v>61</v>
      </c>
      <c r="D1108" s="27">
        <v>45949</v>
      </c>
      <c r="E1108" s="2"/>
      <c r="F1108" s="2" t="s">
        <v>8</v>
      </c>
      <c r="G1108" s="24" t="s">
        <v>3895</v>
      </c>
    </row>
    <row r="1109" spans="1:7" x14ac:dyDescent="0.2">
      <c r="A1109" s="2" t="s">
        <v>3592</v>
      </c>
      <c r="B1109" s="2" t="s">
        <v>3593</v>
      </c>
      <c r="C1109" s="2" t="s">
        <v>61</v>
      </c>
      <c r="D1109" s="27">
        <v>45945</v>
      </c>
      <c r="E1109" s="2"/>
      <c r="F1109" s="2" t="s">
        <v>8</v>
      </c>
      <c r="G1109" s="24" t="s">
        <v>97</v>
      </c>
    </row>
    <row r="1110" spans="1:7" x14ac:dyDescent="0.2">
      <c r="A1110" s="2" t="s">
        <v>3594</v>
      </c>
      <c r="B1110" s="2" t="s">
        <v>3595</v>
      </c>
      <c r="C1110" s="2" t="s">
        <v>61</v>
      </c>
      <c r="D1110" s="27">
        <v>45958</v>
      </c>
      <c r="E1110" s="2"/>
      <c r="F1110" s="2" t="s">
        <v>8</v>
      </c>
      <c r="G1110" s="24" t="s">
        <v>97</v>
      </c>
    </row>
    <row r="1111" spans="1:7" x14ac:dyDescent="0.2">
      <c r="A1111" s="2" t="s">
        <v>3596</v>
      </c>
      <c r="B1111" s="2" t="s">
        <v>3597</v>
      </c>
      <c r="C1111" s="2" t="s">
        <v>61</v>
      </c>
      <c r="D1111" s="27">
        <v>45946</v>
      </c>
      <c r="E1111" s="2"/>
      <c r="F1111" s="2" t="s">
        <v>8</v>
      </c>
      <c r="G1111" s="24" t="s">
        <v>3896</v>
      </c>
    </row>
    <row r="1112" spans="1:7" x14ac:dyDescent="0.2">
      <c r="A1112" s="2" t="s">
        <v>3598</v>
      </c>
      <c r="B1112" s="2" t="s">
        <v>3599</v>
      </c>
      <c r="C1112" s="2" t="s">
        <v>61</v>
      </c>
      <c r="D1112" s="27">
        <v>45950</v>
      </c>
      <c r="E1112" s="2"/>
      <c r="F1112" s="2" t="s">
        <v>8</v>
      </c>
      <c r="G1112" s="24" t="s">
        <v>58</v>
      </c>
    </row>
    <row r="1113" spans="1:7" x14ac:dyDescent="0.2">
      <c r="A1113" s="2" t="s">
        <v>3600</v>
      </c>
      <c r="B1113" s="2" t="s">
        <v>3601</v>
      </c>
      <c r="C1113" s="2" t="s">
        <v>61</v>
      </c>
      <c r="D1113" s="27">
        <v>45952</v>
      </c>
      <c r="E1113" s="2"/>
      <c r="F1113" s="2" t="s">
        <v>8</v>
      </c>
      <c r="G1113" s="24" t="s">
        <v>6</v>
      </c>
    </row>
    <row r="1114" spans="1:7" x14ac:dyDescent="0.2">
      <c r="A1114" s="2" t="s">
        <v>3602</v>
      </c>
      <c r="B1114" s="2" t="s">
        <v>3603</v>
      </c>
      <c r="C1114" s="2" t="s">
        <v>61</v>
      </c>
      <c r="D1114" s="27">
        <v>45937</v>
      </c>
      <c r="E1114" s="2"/>
      <c r="F1114" s="2" t="s">
        <v>8</v>
      </c>
      <c r="G1114" s="24" t="s">
        <v>1367</v>
      </c>
    </row>
    <row r="1115" spans="1:7" x14ac:dyDescent="0.2">
      <c r="A1115" s="2" t="s">
        <v>3604</v>
      </c>
      <c r="B1115" s="2" t="s">
        <v>3605</v>
      </c>
      <c r="C1115" s="2" t="s">
        <v>61</v>
      </c>
      <c r="D1115" s="27">
        <v>45958</v>
      </c>
      <c r="E1115" s="2"/>
      <c r="F1115" s="2" t="s">
        <v>8</v>
      </c>
      <c r="G1115" s="24" t="s">
        <v>1367</v>
      </c>
    </row>
    <row r="1116" spans="1:7" x14ac:dyDescent="0.2">
      <c r="A1116" s="2" t="s">
        <v>3606</v>
      </c>
      <c r="B1116" s="2" t="s">
        <v>3607</v>
      </c>
      <c r="C1116" s="2" t="s">
        <v>61</v>
      </c>
      <c r="D1116" s="27">
        <v>45957</v>
      </c>
      <c r="E1116" s="2"/>
      <c r="F1116" s="2" t="s">
        <v>8</v>
      </c>
      <c r="G1116" s="24" t="s">
        <v>591</v>
      </c>
    </row>
    <row r="1117" spans="1:7" x14ac:dyDescent="0.2">
      <c r="A1117" s="2" t="s">
        <v>3608</v>
      </c>
      <c r="B1117" s="2" t="s">
        <v>3609</v>
      </c>
      <c r="C1117" s="2" t="s">
        <v>61</v>
      </c>
      <c r="D1117" s="27">
        <v>45945</v>
      </c>
      <c r="E1117" s="2"/>
      <c r="F1117" s="2" t="s">
        <v>8</v>
      </c>
      <c r="G1117" s="24" t="s">
        <v>593</v>
      </c>
    </row>
    <row r="1118" spans="1:7" x14ac:dyDescent="0.2">
      <c r="A1118" s="2" t="s">
        <v>3610</v>
      </c>
      <c r="B1118" s="2" t="s">
        <v>3611</v>
      </c>
      <c r="C1118" s="2" t="s">
        <v>61</v>
      </c>
      <c r="D1118" s="27">
        <v>45939</v>
      </c>
      <c r="E1118" s="2"/>
      <c r="F1118" s="2" t="s">
        <v>8</v>
      </c>
      <c r="G1118" s="24" t="s">
        <v>1367</v>
      </c>
    </row>
    <row r="1119" spans="1:7" x14ac:dyDescent="0.2">
      <c r="A1119" s="2" t="s">
        <v>3612</v>
      </c>
      <c r="B1119" s="2" t="s">
        <v>3613</v>
      </c>
      <c r="C1119" s="2" t="s">
        <v>61</v>
      </c>
      <c r="D1119" s="27">
        <v>45945</v>
      </c>
      <c r="E1119" s="2"/>
      <c r="F1119" s="2" t="s">
        <v>8</v>
      </c>
      <c r="G1119" s="24" t="s">
        <v>96</v>
      </c>
    </row>
    <row r="1120" spans="1:7" x14ac:dyDescent="0.2">
      <c r="A1120" s="2" t="s">
        <v>3614</v>
      </c>
      <c r="B1120" s="2" t="s">
        <v>3615</v>
      </c>
      <c r="C1120" s="2" t="s">
        <v>61</v>
      </c>
      <c r="D1120" s="27">
        <v>45940</v>
      </c>
      <c r="E1120" s="2"/>
      <c r="F1120" s="2" t="s">
        <v>8</v>
      </c>
      <c r="G1120" s="24" t="s">
        <v>96</v>
      </c>
    </row>
    <row r="1121" spans="1:7" x14ac:dyDescent="0.2">
      <c r="A1121" s="2" t="s">
        <v>3616</v>
      </c>
      <c r="B1121" s="2" t="s">
        <v>3617</v>
      </c>
      <c r="C1121" s="2" t="s">
        <v>61</v>
      </c>
      <c r="D1121" s="27">
        <v>45957</v>
      </c>
      <c r="E1121" s="2"/>
      <c r="F1121" s="2" t="s">
        <v>8</v>
      </c>
      <c r="G1121" s="24" t="s">
        <v>96</v>
      </c>
    </row>
    <row r="1122" spans="1:7" x14ac:dyDescent="0.2">
      <c r="A1122" s="2" t="s">
        <v>3618</v>
      </c>
      <c r="B1122" s="2" t="s">
        <v>3619</v>
      </c>
      <c r="C1122" s="2" t="s">
        <v>61</v>
      </c>
      <c r="D1122" s="27">
        <v>45954</v>
      </c>
      <c r="E1122" s="2"/>
      <c r="F1122" s="2" t="s">
        <v>8</v>
      </c>
      <c r="G1122" s="24" t="s">
        <v>96</v>
      </c>
    </row>
    <row r="1123" spans="1:7" x14ac:dyDescent="0.2">
      <c r="A1123" s="2" t="s">
        <v>3620</v>
      </c>
      <c r="B1123" s="2" t="s">
        <v>3621</v>
      </c>
      <c r="C1123" s="2" t="s">
        <v>61</v>
      </c>
      <c r="D1123" s="27">
        <v>45944</v>
      </c>
      <c r="E1123" s="2"/>
      <c r="F1123" s="2" t="s">
        <v>8</v>
      </c>
      <c r="G1123" s="24" t="s">
        <v>79</v>
      </c>
    </row>
    <row r="1124" spans="1:7" x14ac:dyDescent="0.2">
      <c r="A1124" s="2" t="s">
        <v>3622</v>
      </c>
      <c r="B1124" s="2" t="s">
        <v>3623</v>
      </c>
      <c r="C1124" s="2" t="s">
        <v>61</v>
      </c>
      <c r="D1124" s="27">
        <v>45946</v>
      </c>
      <c r="E1124" s="2"/>
      <c r="F1124" s="2" t="s">
        <v>8</v>
      </c>
      <c r="G1124" s="24" t="s">
        <v>3901</v>
      </c>
    </row>
    <row r="1125" spans="1:7" x14ac:dyDescent="0.2">
      <c r="A1125" s="2" t="s">
        <v>3624</v>
      </c>
      <c r="B1125" s="2" t="s">
        <v>3625</v>
      </c>
      <c r="C1125" s="2" t="s">
        <v>61</v>
      </c>
      <c r="D1125" s="27">
        <v>45960</v>
      </c>
      <c r="E1125" s="2"/>
      <c r="F1125" s="2" t="s">
        <v>8</v>
      </c>
      <c r="G1125" s="24" t="s">
        <v>58</v>
      </c>
    </row>
    <row r="1126" spans="1:7" x14ac:dyDescent="0.2">
      <c r="A1126" s="2" t="s">
        <v>3626</v>
      </c>
      <c r="B1126" s="2" t="s">
        <v>3627</v>
      </c>
      <c r="C1126" s="2" t="s">
        <v>61</v>
      </c>
      <c r="D1126" s="27">
        <v>45940</v>
      </c>
      <c r="E1126" s="2"/>
      <c r="F1126" s="2" t="s">
        <v>8</v>
      </c>
      <c r="G1126" s="24" t="s">
        <v>58</v>
      </c>
    </row>
    <row r="1127" spans="1:7" x14ac:dyDescent="0.2">
      <c r="A1127" s="2" t="s">
        <v>3628</v>
      </c>
      <c r="B1127" s="2" t="s">
        <v>3629</v>
      </c>
      <c r="C1127" s="2" t="s">
        <v>61</v>
      </c>
      <c r="D1127" s="27">
        <v>45945</v>
      </c>
      <c r="E1127" s="2"/>
      <c r="F1127" s="2" t="s">
        <v>8</v>
      </c>
      <c r="G1127" s="24" t="s">
        <v>591</v>
      </c>
    </row>
    <row r="1128" spans="1:7" x14ac:dyDescent="0.2">
      <c r="A1128" s="2" t="s">
        <v>3630</v>
      </c>
      <c r="B1128" s="2" t="s">
        <v>3631</v>
      </c>
      <c r="C1128" s="2" t="s">
        <v>61</v>
      </c>
      <c r="D1128" s="27">
        <v>45951</v>
      </c>
      <c r="E1128" s="2"/>
      <c r="F1128" s="2" t="s">
        <v>8</v>
      </c>
      <c r="G1128" s="24" t="s">
        <v>3895</v>
      </c>
    </row>
    <row r="1129" spans="1:7" x14ac:dyDescent="0.2">
      <c r="A1129" s="2" t="s">
        <v>3632</v>
      </c>
      <c r="B1129" s="2" t="s">
        <v>3633</v>
      </c>
      <c r="C1129" s="2" t="s">
        <v>61</v>
      </c>
      <c r="D1129" s="27">
        <v>45950</v>
      </c>
      <c r="E1129" s="2"/>
      <c r="F1129" s="2" t="s">
        <v>8</v>
      </c>
      <c r="G1129" s="24" t="s">
        <v>3895</v>
      </c>
    </row>
    <row r="1130" spans="1:7" x14ac:dyDescent="0.2">
      <c r="A1130" s="2" t="s">
        <v>3634</v>
      </c>
      <c r="B1130" s="2" t="s">
        <v>3635</v>
      </c>
      <c r="C1130" s="2" t="s">
        <v>61</v>
      </c>
      <c r="D1130" s="27">
        <v>45953</v>
      </c>
      <c r="E1130" s="2"/>
      <c r="F1130" s="2" t="s">
        <v>8</v>
      </c>
      <c r="G1130" s="24" t="s">
        <v>3895</v>
      </c>
    </row>
    <row r="1131" spans="1:7" x14ac:dyDescent="0.2">
      <c r="A1131" s="2" t="s">
        <v>3636</v>
      </c>
      <c r="B1131" s="2" t="s">
        <v>3637</v>
      </c>
      <c r="C1131" s="2" t="s">
        <v>61</v>
      </c>
      <c r="D1131" s="27">
        <v>45961</v>
      </c>
      <c r="E1131" s="2"/>
      <c r="F1131" s="2" t="s">
        <v>8</v>
      </c>
      <c r="G1131" s="24" t="s">
        <v>3895</v>
      </c>
    </row>
    <row r="1132" spans="1:7" x14ac:dyDescent="0.2">
      <c r="A1132" s="2" t="s">
        <v>3638</v>
      </c>
      <c r="B1132" s="2" t="s">
        <v>3639</v>
      </c>
      <c r="C1132" s="2" t="s">
        <v>61</v>
      </c>
      <c r="D1132" s="27">
        <v>45961</v>
      </c>
      <c r="E1132" s="2"/>
      <c r="F1132" s="2" t="s">
        <v>8</v>
      </c>
      <c r="G1132" s="24" t="s">
        <v>97</v>
      </c>
    </row>
    <row r="1133" spans="1:7" x14ac:dyDescent="0.2">
      <c r="A1133" s="2" t="s">
        <v>3640</v>
      </c>
      <c r="B1133" s="2" t="s">
        <v>3641</v>
      </c>
      <c r="C1133" s="2" t="s">
        <v>61</v>
      </c>
      <c r="D1133" s="27">
        <v>45951</v>
      </c>
      <c r="E1133" s="2"/>
      <c r="F1133" s="2" t="s">
        <v>8</v>
      </c>
      <c r="G1133" s="24" t="s">
        <v>1367</v>
      </c>
    </row>
    <row r="1134" spans="1:7" x14ac:dyDescent="0.2">
      <c r="A1134" s="2" t="s">
        <v>3642</v>
      </c>
      <c r="B1134" s="2" t="s">
        <v>3643</v>
      </c>
      <c r="C1134" s="2" t="s">
        <v>61</v>
      </c>
      <c r="D1134" s="27">
        <v>45945</v>
      </c>
      <c r="E1134" s="2"/>
      <c r="F1134" s="2" t="s">
        <v>8</v>
      </c>
      <c r="G1134" s="24" t="s">
        <v>79</v>
      </c>
    </row>
    <row r="1135" spans="1:7" x14ac:dyDescent="0.2">
      <c r="A1135" s="2" t="s">
        <v>3644</v>
      </c>
      <c r="B1135" s="2" t="s">
        <v>3645</v>
      </c>
      <c r="C1135" s="2" t="s">
        <v>61</v>
      </c>
      <c r="D1135" s="27">
        <v>45951</v>
      </c>
      <c r="E1135" s="2"/>
      <c r="F1135" s="2" t="s">
        <v>8</v>
      </c>
      <c r="G1135" s="24" t="s">
        <v>3895</v>
      </c>
    </row>
    <row r="1136" spans="1:7" x14ac:dyDescent="0.2">
      <c r="A1136" s="2" t="s">
        <v>3646</v>
      </c>
      <c r="B1136" s="2" t="s">
        <v>3647</v>
      </c>
      <c r="C1136" s="2" t="s">
        <v>61</v>
      </c>
      <c r="D1136" s="27">
        <v>45947</v>
      </c>
      <c r="E1136" s="2"/>
      <c r="F1136" s="2" t="s">
        <v>8</v>
      </c>
      <c r="G1136" s="24" t="s">
        <v>3895</v>
      </c>
    </row>
    <row r="1137" spans="1:7" x14ac:dyDescent="0.2">
      <c r="A1137" s="2" t="s">
        <v>3648</v>
      </c>
      <c r="B1137" s="2" t="s">
        <v>3649</v>
      </c>
      <c r="C1137" s="2" t="s">
        <v>61</v>
      </c>
      <c r="D1137" s="27">
        <v>45951</v>
      </c>
      <c r="E1137" s="2"/>
      <c r="F1137" s="2" t="s">
        <v>8</v>
      </c>
      <c r="G1137" s="24" t="s">
        <v>3901</v>
      </c>
    </row>
    <row r="1138" spans="1:7" x14ac:dyDescent="0.2">
      <c r="A1138" s="2" t="s">
        <v>3650</v>
      </c>
      <c r="B1138" s="2" t="s">
        <v>3651</v>
      </c>
      <c r="C1138" s="2" t="s">
        <v>61</v>
      </c>
      <c r="D1138" s="27">
        <v>45957</v>
      </c>
      <c r="E1138" s="2"/>
      <c r="F1138" s="2" t="s">
        <v>8</v>
      </c>
      <c r="G1138" s="24" t="s">
        <v>590</v>
      </c>
    </row>
    <row r="1139" spans="1:7" x14ac:dyDescent="0.2">
      <c r="A1139" s="2" t="s">
        <v>3652</v>
      </c>
      <c r="B1139" s="2" t="s">
        <v>3653</v>
      </c>
      <c r="C1139" s="2" t="s">
        <v>61</v>
      </c>
      <c r="D1139" s="27">
        <v>45933</v>
      </c>
      <c r="E1139" s="2"/>
      <c r="F1139" s="2" t="s">
        <v>8</v>
      </c>
      <c r="G1139" s="24" t="s">
        <v>96</v>
      </c>
    </row>
    <row r="1140" spans="1:7" x14ac:dyDescent="0.2">
      <c r="A1140" s="2" t="s">
        <v>3654</v>
      </c>
      <c r="B1140" s="2" t="s">
        <v>3655</v>
      </c>
      <c r="C1140" s="2" t="s">
        <v>61</v>
      </c>
      <c r="D1140" s="27">
        <v>45947</v>
      </c>
      <c r="E1140" s="2"/>
      <c r="F1140" s="2" t="s">
        <v>8</v>
      </c>
      <c r="G1140" s="24" t="s">
        <v>1365</v>
      </c>
    </row>
    <row r="1141" spans="1:7" x14ac:dyDescent="0.2">
      <c r="A1141" s="2" t="s">
        <v>3656</v>
      </c>
      <c r="B1141" s="2" t="s">
        <v>3657</v>
      </c>
      <c r="C1141" s="2" t="s">
        <v>61</v>
      </c>
      <c r="D1141" s="27">
        <v>45932</v>
      </c>
      <c r="E1141" s="2"/>
      <c r="F1141" s="2" t="s">
        <v>8</v>
      </c>
      <c r="G1141" s="24" t="s">
        <v>1367</v>
      </c>
    </row>
    <row r="1142" spans="1:7" x14ac:dyDescent="0.2">
      <c r="A1142" s="2" t="s">
        <v>3658</v>
      </c>
      <c r="B1142" s="2" t="s">
        <v>3659</v>
      </c>
      <c r="C1142" s="2" t="s">
        <v>61</v>
      </c>
      <c r="D1142" s="27">
        <v>45937</v>
      </c>
      <c r="E1142" s="2"/>
      <c r="F1142" s="2" t="s">
        <v>8</v>
      </c>
      <c r="G1142" s="24" t="s">
        <v>1367</v>
      </c>
    </row>
    <row r="1143" spans="1:7" x14ac:dyDescent="0.2">
      <c r="A1143" s="2" t="s">
        <v>3660</v>
      </c>
      <c r="B1143" s="2" t="s">
        <v>3661</v>
      </c>
      <c r="C1143" s="2" t="s">
        <v>61</v>
      </c>
      <c r="D1143" s="27">
        <v>45937</v>
      </c>
      <c r="E1143" s="2"/>
      <c r="F1143" s="2" t="s">
        <v>8</v>
      </c>
      <c r="G1143" s="24" t="s">
        <v>96</v>
      </c>
    </row>
    <row r="1144" spans="1:7" x14ac:dyDescent="0.2">
      <c r="A1144" s="2" t="s">
        <v>3662</v>
      </c>
      <c r="B1144" s="2" t="s">
        <v>3663</v>
      </c>
      <c r="C1144" s="2" t="s">
        <v>61</v>
      </c>
      <c r="D1144" s="27">
        <v>45959</v>
      </c>
      <c r="E1144" s="2"/>
      <c r="F1144" s="2" t="s">
        <v>8</v>
      </c>
      <c r="G1144" s="24" t="s">
        <v>65</v>
      </c>
    </row>
    <row r="1145" spans="1:7" x14ac:dyDescent="0.2">
      <c r="A1145" s="2" t="s">
        <v>3664</v>
      </c>
      <c r="B1145" s="2" t="s">
        <v>3665</v>
      </c>
      <c r="C1145" s="2" t="s">
        <v>61</v>
      </c>
      <c r="D1145" s="27">
        <v>45946</v>
      </c>
      <c r="E1145" s="2"/>
      <c r="F1145" s="2" t="s">
        <v>8</v>
      </c>
      <c r="G1145" s="24" t="s">
        <v>79</v>
      </c>
    </row>
    <row r="1146" spans="1:7" x14ac:dyDescent="0.2">
      <c r="A1146" s="2" t="s">
        <v>3666</v>
      </c>
      <c r="B1146" s="2" t="s">
        <v>3667</v>
      </c>
      <c r="C1146" s="2" t="s">
        <v>61</v>
      </c>
      <c r="D1146" s="27">
        <v>45938</v>
      </c>
      <c r="E1146" s="2"/>
      <c r="F1146" s="2" t="s">
        <v>8</v>
      </c>
      <c r="G1146" s="24" t="s">
        <v>59</v>
      </c>
    </row>
    <row r="1147" spans="1:7" x14ac:dyDescent="0.2">
      <c r="A1147" s="2" t="s">
        <v>3668</v>
      </c>
      <c r="B1147" s="2" t="s">
        <v>3669</v>
      </c>
      <c r="C1147" s="2" t="s">
        <v>61</v>
      </c>
      <c r="D1147" s="27">
        <v>45937</v>
      </c>
      <c r="E1147" s="2"/>
      <c r="F1147" s="2" t="s">
        <v>8</v>
      </c>
      <c r="G1147" s="24" t="s">
        <v>59</v>
      </c>
    </row>
    <row r="1148" spans="1:7" x14ac:dyDescent="0.2">
      <c r="A1148" s="2" t="s">
        <v>3670</v>
      </c>
      <c r="B1148" s="2" t="s">
        <v>3671</v>
      </c>
      <c r="C1148" s="2" t="s">
        <v>61</v>
      </c>
      <c r="D1148" s="27">
        <v>45954</v>
      </c>
      <c r="E1148" s="2"/>
      <c r="F1148" s="2" t="s">
        <v>8</v>
      </c>
      <c r="G1148" s="24" t="s">
        <v>591</v>
      </c>
    </row>
    <row r="1149" spans="1:7" x14ac:dyDescent="0.2">
      <c r="A1149" s="2" t="s">
        <v>3672</v>
      </c>
      <c r="B1149" s="2" t="s">
        <v>3673</v>
      </c>
      <c r="C1149" s="2" t="s">
        <v>61</v>
      </c>
      <c r="D1149" s="27">
        <v>45934</v>
      </c>
      <c r="E1149" s="2"/>
      <c r="F1149" s="2" t="s">
        <v>8</v>
      </c>
      <c r="G1149" s="24" t="s">
        <v>59</v>
      </c>
    </row>
    <row r="1150" spans="1:7" x14ac:dyDescent="0.2">
      <c r="A1150" s="2" t="s">
        <v>3674</v>
      </c>
      <c r="B1150" s="2" t="s">
        <v>3675</v>
      </c>
      <c r="C1150" s="2" t="s">
        <v>61</v>
      </c>
      <c r="D1150" s="27">
        <v>45939</v>
      </c>
      <c r="E1150" s="2"/>
      <c r="F1150" s="2" t="s">
        <v>8</v>
      </c>
      <c r="G1150" s="24" t="s">
        <v>59</v>
      </c>
    </row>
    <row r="1151" spans="1:7" x14ac:dyDescent="0.2">
      <c r="A1151" s="2" t="s">
        <v>3676</v>
      </c>
      <c r="B1151" s="2" t="s">
        <v>3677</v>
      </c>
      <c r="C1151" s="2" t="s">
        <v>61</v>
      </c>
      <c r="D1151" s="27">
        <v>45947</v>
      </c>
      <c r="E1151" s="2"/>
      <c r="F1151" s="2" t="s">
        <v>8</v>
      </c>
      <c r="G1151" s="24" t="s">
        <v>3895</v>
      </c>
    </row>
    <row r="1152" spans="1:7" x14ac:dyDescent="0.2">
      <c r="A1152" s="2" t="s">
        <v>3678</v>
      </c>
      <c r="B1152" s="2" t="s">
        <v>3679</v>
      </c>
      <c r="C1152" s="2" t="s">
        <v>61</v>
      </c>
      <c r="D1152" s="27">
        <v>45951</v>
      </c>
      <c r="E1152" s="2"/>
      <c r="F1152" s="2" t="s">
        <v>8</v>
      </c>
      <c r="G1152" s="24" t="s">
        <v>3895</v>
      </c>
    </row>
    <row r="1153" spans="1:7" x14ac:dyDescent="0.2">
      <c r="A1153" s="2" t="s">
        <v>3680</v>
      </c>
      <c r="B1153" s="2" t="s">
        <v>3681</v>
      </c>
      <c r="C1153" s="2" t="s">
        <v>61</v>
      </c>
      <c r="D1153" s="27">
        <v>45931</v>
      </c>
      <c r="E1153" s="2"/>
      <c r="F1153" s="2" t="s">
        <v>8</v>
      </c>
      <c r="G1153" s="24" t="s">
        <v>3895</v>
      </c>
    </row>
    <row r="1154" spans="1:7" x14ac:dyDescent="0.2">
      <c r="A1154" s="2" t="s">
        <v>3682</v>
      </c>
      <c r="B1154" s="2" t="s">
        <v>3683</v>
      </c>
      <c r="C1154" s="2" t="s">
        <v>61</v>
      </c>
      <c r="D1154" s="27">
        <v>45935</v>
      </c>
      <c r="E1154" s="2"/>
      <c r="F1154" s="2" t="s">
        <v>8</v>
      </c>
      <c r="G1154" s="24" t="s">
        <v>6</v>
      </c>
    </row>
    <row r="1155" spans="1:7" x14ac:dyDescent="0.2">
      <c r="A1155" s="2" t="s">
        <v>3684</v>
      </c>
      <c r="B1155" s="2" t="s">
        <v>3685</v>
      </c>
      <c r="C1155" s="2" t="s">
        <v>61</v>
      </c>
      <c r="D1155" s="27">
        <v>45933</v>
      </c>
      <c r="E1155" s="2"/>
      <c r="F1155" s="2" t="s">
        <v>8</v>
      </c>
      <c r="G1155" s="24" t="s">
        <v>97</v>
      </c>
    </row>
    <row r="1156" spans="1:7" x14ac:dyDescent="0.2">
      <c r="A1156" s="2" t="s">
        <v>3686</v>
      </c>
      <c r="B1156" s="2" t="s">
        <v>3687</v>
      </c>
      <c r="C1156" s="2" t="s">
        <v>61</v>
      </c>
      <c r="D1156" s="27">
        <v>45933</v>
      </c>
      <c r="E1156" s="2"/>
      <c r="F1156" s="2" t="s">
        <v>8</v>
      </c>
      <c r="G1156" s="24" t="s">
        <v>590</v>
      </c>
    </row>
    <row r="1157" spans="1:7" x14ac:dyDescent="0.2">
      <c r="A1157" s="2" t="s">
        <v>3688</v>
      </c>
      <c r="B1157" s="2" t="s">
        <v>3689</v>
      </c>
      <c r="C1157" s="2" t="s">
        <v>61</v>
      </c>
      <c r="D1157" s="27">
        <v>45939</v>
      </c>
      <c r="E1157" s="2"/>
      <c r="F1157" s="2" t="s">
        <v>8</v>
      </c>
      <c r="G1157" s="24" t="s">
        <v>94</v>
      </c>
    </row>
    <row r="1158" spans="1:7" x14ac:dyDescent="0.2">
      <c r="A1158" s="2" t="s">
        <v>3690</v>
      </c>
      <c r="B1158" s="2" t="s">
        <v>3691</v>
      </c>
      <c r="C1158" s="2" t="s">
        <v>61</v>
      </c>
      <c r="D1158" s="27">
        <v>45931</v>
      </c>
      <c r="E1158" s="2"/>
      <c r="F1158" s="2" t="s">
        <v>8</v>
      </c>
      <c r="G1158" s="24" t="s">
        <v>3896</v>
      </c>
    </row>
    <row r="1159" spans="1:7" x14ac:dyDescent="0.2">
      <c r="A1159" s="2" t="s">
        <v>3692</v>
      </c>
      <c r="B1159" s="2" t="s">
        <v>3693</v>
      </c>
      <c r="C1159" s="2" t="s">
        <v>61</v>
      </c>
      <c r="D1159" s="27">
        <v>45944</v>
      </c>
      <c r="E1159" s="2"/>
      <c r="F1159" s="2" t="s">
        <v>8</v>
      </c>
      <c r="G1159" s="24" t="s">
        <v>1365</v>
      </c>
    </row>
    <row r="1160" spans="1:7" x14ac:dyDescent="0.2">
      <c r="A1160" s="2" t="s">
        <v>3694</v>
      </c>
      <c r="B1160" s="2" t="s">
        <v>3695</v>
      </c>
      <c r="C1160" s="2" t="s">
        <v>61</v>
      </c>
      <c r="D1160" s="27">
        <v>45947</v>
      </c>
      <c r="E1160" s="2"/>
      <c r="F1160" s="2" t="s">
        <v>8</v>
      </c>
      <c r="G1160" s="24" t="s">
        <v>96</v>
      </c>
    </row>
    <row r="1161" spans="1:7" x14ac:dyDescent="0.2">
      <c r="A1161" s="2" t="s">
        <v>3696</v>
      </c>
      <c r="B1161" s="2" t="s">
        <v>3697</v>
      </c>
      <c r="C1161" s="2" t="s">
        <v>61</v>
      </c>
      <c r="D1161" s="27">
        <v>45954</v>
      </c>
      <c r="E1161" s="2"/>
      <c r="F1161" s="2" t="s">
        <v>8</v>
      </c>
      <c r="G1161" s="24" t="s">
        <v>58</v>
      </c>
    </row>
    <row r="1162" spans="1:7" x14ac:dyDescent="0.2">
      <c r="A1162" s="2" t="s">
        <v>3698</v>
      </c>
      <c r="B1162" s="2" t="s">
        <v>3699</v>
      </c>
      <c r="C1162" s="2" t="s">
        <v>61</v>
      </c>
      <c r="D1162" s="27">
        <v>45938</v>
      </c>
      <c r="E1162" s="2"/>
      <c r="F1162" s="2" t="s">
        <v>8</v>
      </c>
      <c r="G1162" s="24" t="s">
        <v>96</v>
      </c>
    </row>
    <row r="1163" spans="1:7" x14ac:dyDescent="0.2">
      <c r="A1163" s="2" t="s">
        <v>3700</v>
      </c>
      <c r="B1163" s="2" t="s">
        <v>3701</v>
      </c>
      <c r="C1163" s="2" t="s">
        <v>61</v>
      </c>
      <c r="D1163" s="27">
        <v>45958</v>
      </c>
      <c r="E1163" s="2"/>
      <c r="F1163" s="2" t="s">
        <v>8</v>
      </c>
      <c r="G1163" s="24" t="s">
        <v>65</v>
      </c>
    </row>
    <row r="1164" spans="1:7" x14ac:dyDescent="0.2">
      <c r="A1164" s="2" t="s">
        <v>3702</v>
      </c>
      <c r="B1164" s="2" t="s">
        <v>3703</v>
      </c>
      <c r="C1164" s="2" t="s">
        <v>61</v>
      </c>
      <c r="D1164" s="27">
        <v>45935</v>
      </c>
      <c r="E1164" s="2"/>
      <c r="F1164" s="2" t="s">
        <v>8</v>
      </c>
      <c r="G1164" s="24" t="s">
        <v>95</v>
      </c>
    </row>
    <row r="1165" spans="1:7" x14ac:dyDescent="0.2">
      <c r="A1165" s="2" t="s">
        <v>3704</v>
      </c>
      <c r="B1165" s="2" t="s">
        <v>3705</v>
      </c>
      <c r="C1165" s="2" t="s">
        <v>61</v>
      </c>
      <c r="D1165" s="27">
        <v>45937</v>
      </c>
      <c r="E1165" s="2"/>
      <c r="F1165" s="2" t="s">
        <v>8</v>
      </c>
      <c r="G1165" s="24" t="s">
        <v>95</v>
      </c>
    </row>
    <row r="1166" spans="1:7" x14ac:dyDescent="0.2">
      <c r="A1166" s="2" t="s">
        <v>3706</v>
      </c>
      <c r="B1166" s="2" t="s">
        <v>3707</v>
      </c>
      <c r="C1166" s="2" t="s">
        <v>61</v>
      </c>
      <c r="D1166" s="27">
        <v>45945</v>
      </c>
      <c r="E1166" s="2"/>
      <c r="F1166" s="2" t="s">
        <v>8</v>
      </c>
      <c r="G1166" s="24" t="s">
        <v>591</v>
      </c>
    </row>
    <row r="1167" spans="1:7" x14ac:dyDescent="0.2">
      <c r="A1167" s="2" t="s">
        <v>3708</v>
      </c>
      <c r="B1167" s="2" t="s">
        <v>3709</v>
      </c>
      <c r="C1167" s="2" t="s">
        <v>61</v>
      </c>
      <c r="D1167" s="27">
        <v>45951</v>
      </c>
      <c r="E1167" s="2"/>
      <c r="F1167" s="2" t="s">
        <v>8</v>
      </c>
      <c r="G1167" s="24" t="s">
        <v>97</v>
      </c>
    </row>
    <row r="1168" spans="1:7" x14ac:dyDescent="0.2">
      <c r="A1168" s="2" t="s">
        <v>3710</v>
      </c>
      <c r="B1168" s="2" t="s">
        <v>3711</v>
      </c>
      <c r="C1168" s="2" t="s">
        <v>61</v>
      </c>
      <c r="D1168" s="27">
        <v>45946</v>
      </c>
      <c r="E1168" s="2"/>
      <c r="F1168" s="2" t="s">
        <v>8</v>
      </c>
      <c r="G1168" s="24" t="s">
        <v>97</v>
      </c>
    </row>
    <row r="1169" spans="1:7" x14ac:dyDescent="0.2">
      <c r="A1169" s="2" t="s">
        <v>3712</v>
      </c>
      <c r="B1169" s="2" t="s">
        <v>3713</v>
      </c>
      <c r="C1169" s="2" t="s">
        <v>61</v>
      </c>
      <c r="D1169" s="27">
        <v>45946</v>
      </c>
      <c r="E1169" s="2"/>
      <c r="F1169" s="2" t="s">
        <v>8</v>
      </c>
      <c r="G1169" s="24" t="s">
        <v>590</v>
      </c>
    </row>
    <row r="1170" spans="1:7" x14ac:dyDescent="0.2">
      <c r="A1170" s="2" t="s">
        <v>3714</v>
      </c>
      <c r="B1170" s="2" t="s">
        <v>3715</v>
      </c>
      <c r="C1170" s="2" t="s">
        <v>61</v>
      </c>
      <c r="D1170" s="27">
        <v>45938</v>
      </c>
      <c r="E1170" s="2"/>
      <c r="F1170" s="2" t="s">
        <v>8</v>
      </c>
      <c r="G1170" s="24" t="s">
        <v>1369</v>
      </c>
    </row>
    <row r="1171" spans="1:7" x14ac:dyDescent="0.2">
      <c r="A1171" s="2" t="s">
        <v>3716</v>
      </c>
      <c r="B1171" s="2" t="s">
        <v>3717</v>
      </c>
      <c r="C1171" s="2" t="s">
        <v>61</v>
      </c>
      <c r="D1171" s="27">
        <v>45931</v>
      </c>
      <c r="E1171" s="2"/>
      <c r="F1171" s="2" t="s">
        <v>8</v>
      </c>
      <c r="G1171" s="24" t="s">
        <v>95</v>
      </c>
    </row>
    <row r="1172" spans="1:7" x14ac:dyDescent="0.2">
      <c r="A1172" s="2" t="s">
        <v>3718</v>
      </c>
      <c r="B1172" s="2" t="s">
        <v>3719</v>
      </c>
      <c r="C1172" s="2" t="s">
        <v>61</v>
      </c>
      <c r="D1172" s="27">
        <v>45957</v>
      </c>
      <c r="E1172" s="2"/>
      <c r="F1172" s="2" t="s">
        <v>8</v>
      </c>
      <c r="G1172" s="24" t="s">
        <v>58</v>
      </c>
    </row>
    <row r="1173" spans="1:7" x14ac:dyDescent="0.2">
      <c r="A1173" s="2" t="s">
        <v>3720</v>
      </c>
      <c r="B1173" s="2" t="s">
        <v>3721</v>
      </c>
      <c r="C1173" s="2" t="s">
        <v>61</v>
      </c>
      <c r="D1173" s="27">
        <v>45946</v>
      </c>
      <c r="E1173" s="2"/>
      <c r="F1173" s="2" t="s">
        <v>8</v>
      </c>
      <c r="G1173" s="24" t="s">
        <v>591</v>
      </c>
    </row>
    <row r="1174" spans="1:7" x14ac:dyDescent="0.2">
      <c r="A1174" s="2" t="s">
        <v>3722</v>
      </c>
      <c r="B1174" s="2" t="s">
        <v>3723</v>
      </c>
      <c r="C1174" s="2" t="s">
        <v>61</v>
      </c>
      <c r="D1174" s="27">
        <v>45933</v>
      </c>
      <c r="E1174" s="2"/>
      <c r="F1174" s="2" t="s">
        <v>8</v>
      </c>
      <c r="G1174" s="24" t="s">
        <v>97</v>
      </c>
    </row>
    <row r="1175" spans="1:7" x14ac:dyDescent="0.2">
      <c r="A1175" s="2" t="s">
        <v>3724</v>
      </c>
      <c r="B1175" s="2" t="s">
        <v>3725</v>
      </c>
      <c r="C1175" s="2" t="s">
        <v>61</v>
      </c>
      <c r="D1175" s="27">
        <v>45954</v>
      </c>
      <c r="E1175" s="2"/>
      <c r="F1175" s="2" t="s">
        <v>8</v>
      </c>
      <c r="G1175" s="24" t="s">
        <v>97</v>
      </c>
    </row>
    <row r="1176" spans="1:7" x14ac:dyDescent="0.2">
      <c r="A1176" s="2" t="s">
        <v>3726</v>
      </c>
      <c r="B1176" s="2" t="s">
        <v>3727</v>
      </c>
      <c r="C1176" s="2" t="s">
        <v>61</v>
      </c>
      <c r="D1176" s="27">
        <v>45943</v>
      </c>
      <c r="E1176" s="2"/>
      <c r="F1176" s="2" t="s">
        <v>8</v>
      </c>
      <c r="G1176" s="24" t="s">
        <v>97</v>
      </c>
    </row>
    <row r="1177" spans="1:7" x14ac:dyDescent="0.2">
      <c r="A1177" s="2" t="s">
        <v>3728</v>
      </c>
      <c r="B1177" s="2" t="s">
        <v>3729</v>
      </c>
      <c r="C1177" s="2" t="s">
        <v>61</v>
      </c>
      <c r="D1177" s="27">
        <v>45940</v>
      </c>
      <c r="E1177" s="2"/>
      <c r="F1177" s="2" t="s">
        <v>8</v>
      </c>
      <c r="G1177" s="24" t="s">
        <v>3895</v>
      </c>
    </row>
    <row r="1178" spans="1:7" x14ac:dyDescent="0.2">
      <c r="A1178" s="2" t="s">
        <v>3730</v>
      </c>
      <c r="B1178" s="2" t="s">
        <v>3731</v>
      </c>
      <c r="C1178" s="2" t="s">
        <v>61</v>
      </c>
      <c r="D1178" s="27">
        <v>45938</v>
      </c>
      <c r="E1178" s="2"/>
      <c r="F1178" s="2" t="s">
        <v>8</v>
      </c>
      <c r="G1178" s="24" t="s">
        <v>65</v>
      </c>
    </row>
    <row r="1179" spans="1:7" x14ac:dyDescent="0.2">
      <c r="A1179" s="2" t="s">
        <v>3732</v>
      </c>
      <c r="B1179" s="2" t="s">
        <v>3733</v>
      </c>
      <c r="C1179" s="2" t="s">
        <v>61</v>
      </c>
      <c r="D1179" s="27">
        <v>45939</v>
      </c>
      <c r="E1179" s="2"/>
      <c r="F1179" s="2" t="s">
        <v>8</v>
      </c>
      <c r="G1179" s="24" t="s">
        <v>593</v>
      </c>
    </row>
    <row r="1180" spans="1:7" x14ac:dyDescent="0.2">
      <c r="A1180" s="2" t="s">
        <v>3734</v>
      </c>
      <c r="B1180" s="2" t="s">
        <v>3735</v>
      </c>
      <c r="C1180" s="2" t="s">
        <v>61</v>
      </c>
      <c r="D1180" s="27">
        <v>45940</v>
      </c>
      <c r="E1180" s="2"/>
      <c r="F1180" s="2" t="s">
        <v>8</v>
      </c>
      <c r="G1180" s="24" t="s">
        <v>97</v>
      </c>
    </row>
    <row r="1181" spans="1:7" x14ac:dyDescent="0.2">
      <c r="A1181" s="2" t="s">
        <v>3736</v>
      </c>
      <c r="B1181" s="2" t="s">
        <v>3737</v>
      </c>
      <c r="C1181" s="2" t="s">
        <v>61</v>
      </c>
      <c r="D1181" s="27">
        <v>45933</v>
      </c>
      <c r="E1181" s="2"/>
      <c r="F1181" s="2" t="s">
        <v>8</v>
      </c>
      <c r="G1181" s="24" t="s">
        <v>59</v>
      </c>
    </row>
    <row r="1182" spans="1:7" x14ac:dyDescent="0.2">
      <c r="A1182" s="2" t="s">
        <v>3738</v>
      </c>
      <c r="B1182" s="2" t="s">
        <v>3739</v>
      </c>
      <c r="C1182" s="2" t="s">
        <v>61</v>
      </c>
      <c r="D1182" s="27">
        <v>45946</v>
      </c>
      <c r="E1182" s="2"/>
      <c r="F1182" s="2" t="s">
        <v>8</v>
      </c>
      <c r="G1182" s="24" t="s">
        <v>65</v>
      </c>
    </row>
    <row r="1183" spans="1:7" x14ac:dyDescent="0.2">
      <c r="A1183" s="2" t="s">
        <v>3740</v>
      </c>
      <c r="B1183" s="2" t="s">
        <v>3741</v>
      </c>
      <c r="C1183" s="2" t="s">
        <v>61</v>
      </c>
      <c r="D1183" s="27">
        <v>45936</v>
      </c>
      <c r="E1183" s="2"/>
      <c r="F1183" s="2" t="s">
        <v>8</v>
      </c>
      <c r="G1183" s="24" t="s">
        <v>79</v>
      </c>
    </row>
    <row r="1184" spans="1:7" x14ac:dyDescent="0.2">
      <c r="A1184" s="2" t="s">
        <v>3742</v>
      </c>
      <c r="B1184" s="2" t="s">
        <v>3743</v>
      </c>
      <c r="C1184" s="2" t="s">
        <v>61</v>
      </c>
      <c r="D1184" s="27">
        <v>45937</v>
      </c>
      <c r="E1184" s="2"/>
      <c r="F1184" s="2" t="s">
        <v>8</v>
      </c>
      <c r="G1184" s="24" t="s">
        <v>59</v>
      </c>
    </row>
    <row r="1185" spans="1:7" x14ac:dyDescent="0.2">
      <c r="A1185" s="2" t="s">
        <v>3744</v>
      </c>
      <c r="B1185" s="2" t="s">
        <v>3745</v>
      </c>
      <c r="C1185" s="2" t="s">
        <v>61</v>
      </c>
      <c r="D1185" s="27">
        <v>45940</v>
      </c>
      <c r="E1185" s="2"/>
      <c r="F1185" s="2" t="s">
        <v>8</v>
      </c>
      <c r="G1185" s="24" t="s">
        <v>59</v>
      </c>
    </row>
    <row r="1186" spans="1:7" x14ac:dyDescent="0.2">
      <c r="A1186" s="2" t="s">
        <v>3746</v>
      </c>
      <c r="B1186" s="2" t="s">
        <v>3747</v>
      </c>
      <c r="C1186" s="2" t="s">
        <v>61</v>
      </c>
      <c r="D1186" s="27">
        <v>45952</v>
      </c>
      <c r="E1186" s="2"/>
      <c r="F1186" s="2" t="s">
        <v>8</v>
      </c>
      <c r="G1186" s="24" t="s">
        <v>591</v>
      </c>
    </row>
    <row r="1187" spans="1:7" x14ac:dyDescent="0.2">
      <c r="A1187" s="2" t="s">
        <v>3748</v>
      </c>
      <c r="B1187" s="2" t="s">
        <v>3749</v>
      </c>
      <c r="C1187" s="2" t="s">
        <v>61</v>
      </c>
      <c r="D1187" s="27">
        <v>45933</v>
      </c>
      <c r="E1187" s="2"/>
      <c r="F1187" s="2" t="s">
        <v>8</v>
      </c>
      <c r="G1187" s="24" t="s">
        <v>590</v>
      </c>
    </row>
    <row r="1188" spans="1:7" x14ac:dyDescent="0.2">
      <c r="A1188" s="2" t="s">
        <v>3750</v>
      </c>
      <c r="B1188" s="2" t="s">
        <v>3751</v>
      </c>
      <c r="C1188" s="2" t="s">
        <v>61</v>
      </c>
      <c r="D1188" s="27">
        <v>45932</v>
      </c>
      <c r="E1188" s="2"/>
      <c r="F1188" s="2" t="s">
        <v>8</v>
      </c>
      <c r="G1188" s="24" t="s">
        <v>96</v>
      </c>
    </row>
    <row r="1189" spans="1:7" x14ac:dyDescent="0.2">
      <c r="A1189" s="2" t="s">
        <v>3752</v>
      </c>
      <c r="B1189" s="2" t="s">
        <v>3753</v>
      </c>
      <c r="C1189" s="2" t="s">
        <v>61</v>
      </c>
      <c r="D1189" s="27">
        <v>45946</v>
      </c>
      <c r="E1189" s="2"/>
      <c r="F1189" s="2" t="s">
        <v>8</v>
      </c>
      <c r="G1189" s="24" t="s">
        <v>590</v>
      </c>
    </row>
    <row r="1190" spans="1:7" x14ac:dyDescent="0.2">
      <c r="A1190" s="2" t="s">
        <v>3754</v>
      </c>
      <c r="B1190" s="2" t="s">
        <v>3755</v>
      </c>
      <c r="C1190" s="2" t="s">
        <v>61</v>
      </c>
      <c r="D1190" s="27">
        <v>45938</v>
      </c>
      <c r="E1190" s="2"/>
      <c r="F1190" s="2" t="s">
        <v>8</v>
      </c>
      <c r="G1190" s="24" t="s">
        <v>3896</v>
      </c>
    </row>
    <row r="1191" spans="1:7" x14ac:dyDescent="0.2">
      <c r="A1191" s="2" t="s">
        <v>3756</v>
      </c>
      <c r="B1191" s="2" t="s">
        <v>3757</v>
      </c>
      <c r="C1191" s="2" t="s">
        <v>61</v>
      </c>
      <c r="D1191" s="27">
        <v>45951</v>
      </c>
      <c r="E1191" s="2"/>
      <c r="F1191" s="2" t="s">
        <v>8</v>
      </c>
      <c r="G1191" s="24" t="s">
        <v>1368</v>
      </c>
    </row>
    <row r="1192" spans="1:7" x14ac:dyDescent="0.2">
      <c r="A1192" s="2" t="s">
        <v>3758</v>
      </c>
      <c r="B1192" s="2" t="s">
        <v>3759</v>
      </c>
      <c r="C1192" s="2" t="s">
        <v>61</v>
      </c>
      <c r="D1192" s="27">
        <v>45934</v>
      </c>
      <c r="E1192" s="2"/>
      <c r="F1192" s="2" t="s">
        <v>8</v>
      </c>
      <c r="G1192" s="24" t="s">
        <v>79</v>
      </c>
    </row>
    <row r="1193" spans="1:7" x14ac:dyDescent="0.2">
      <c r="A1193" s="2" t="s">
        <v>3760</v>
      </c>
      <c r="B1193" s="2" t="s">
        <v>3761</v>
      </c>
      <c r="C1193" s="2" t="s">
        <v>61</v>
      </c>
      <c r="D1193" s="27">
        <v>45931</v>
      </c>
      <c r="E1193" s="2"/>
      <c r="F1193" s="2" t="s">
        <v>8</v>
      </c>
      <c r="G1193" s="24" t="s">
        <v>79</v>
      </c>
    </row>
    <row r="1194" spans="1:7" x14ac:dyDescent="0.2">
      <c r="A1194" s="2" t="s">
        <v>3762</v>
      </c>
      <c r="B1194" s="2" t="s">
        <v>3763</v>
      </c>
      <c r="C1194" s="2" t="s">
        <v>61</v>
      </c>
      <c r="D1194" s="27">
        <v>45931</v>
      </c>
      <c r="E1194" s="2"/>
      <c r="F1194" s="2" t="s">
        <v>8</v>
      </c>
      <c r="G1194" s="24" t="s">
        <v>79</v>
      </c>
    </row>
    <row r="1195" spans="1:7" x14ac:dyDescent="0.2">
      <c r="A1195" s="2" t="s">
        <v>3764</v>
      </c>
      <c r="B1195" s="2" t="s">
        <v>3765</v>
      </c>
      <c r="C1195" s="2" t="s">
        <v>61</v>
      </c>
      <c r="D1195" s="27">
        <v>45950</v>
      </c>
      <c r="E1195" s="2"/>
      <c r="F1195" s="2" t="s">
        <v>8</v>
      </c>
      <c r="G1195" s="24" t="s">
        <v>1365</v>
      </c>
    </row>
    <row r="1196" spans="1:7" x14ac:dyDescent="0.2">
      <c r="A1196" s="2" t="s">
        <v>3766</v>
      </c>
      <c r="B1196" s="2" t="s">
        <v>3767</v>
      </c>
      <c r="C1196" s="2" t="s">
        <v>61</v>
      </c>
      <c r="D1196" s="27">
        <v>45932</v>
      </c>
      <c r="E1196" s="2"/>
      <c r="F1196" s="2" t="s">
        <v>8</v>
      </c>
      <c r="G1196" s="24" t="s">
        <v>1365</v>
      </c>
    </row>
    <row r="1197" spans="1:7" x14ac:dyDescent="0.2">
      <c r="A1197" s="2" t="s">
        <v>3768</v>
      </c>
      <c r="B1197" s="2" t="s">
        <v>3769</v>
      </c>
      <c r="C1197" s="2" t="s">
        <v>61</v>
      </c>
      <c r="D1197" s="27">
        <v>45938</v>
      </c>
      <c r="E1197" s="2"/>
      <c r="F1197" s="2" t="s">
        <v>8</v>
      </c>
      <c r="G1197" s="24" t="s">
        <v>65</v>
      </c>
    </row>
    <row r="1198" spans="1:7" x14ac:dyDescent="0.2">
      <c r="A1198" s="2" t="s">
        <v>3770</v>
      </c>
      <c r="B1198" s="2" t="s">
        <v>3771</v>
      </c>
      <c r="C1198" s="2" t="s">
        <v>61</v>
      </c>
      <c r="D1198" s="27">
        <v>45957</v>
      </c>
      <c r="E1198" s="2"/>
      <c r="F1198" s="2" t="s">
        <v>8</v>
      </c>
      <c r="G1198" s="24" t="s">
        <v>3895</v>
      </c>
    </row>
    <row r="1199" spans="1:7" x14ac:dyDescent="0.2">
      <c r="A1199" s="2" t="s">
        <v>3772</v>
      </c>
      <c r="B1199" s="2" t="s">
        <v>3773</v>
      </c>
      <c r="C1199" s="2" t="s">
        <v>61</v>
      </c>
      <c r="D1199" s="27">
        <v>45957</v>
      </c>
      <c r="E1199" s="2"/>
      <c r="F1199" s="2" t="s">
        <v>8</v>
      </c>
      <c r="G1199" s="24" t="s">
        <v>3896</v>
      </c>
    </row>
    <row r="1200" spans="1:7" x14ac:dyDescent="0.2">
      <c r="A1200" s="2" t="s">
        <v>3774</v>
      </c>
      <c r="B1200" s="2" t="s">
        <v>3775</v>
      </c>
      <c r="C1200" s="2" t="s">
        <v>61</v>
      </c>
      <c r="D1200" s="27">
        <v>45938</v>
      </c>
      <c r="E1200" s="2"/>
      <c r="F1200" s="2" t="s">
        <v>8</v>
      </c>
      <c r="G1200" s="24" t="s">
        <v>3896</v>
      </c>
    </row>
    <row r="1201" spans="1:7" x14ac:dyDescent="0.2">
      <c r="A1201" s="2" t="s">
        <v>3776</v>
      </c>
      <c r="B1201" s="2" t="s">
        <v>3777</v>
      </c>
      <c r="C1201" s="2" t="s">
        <v>61</v>
      </c>
      <c r="D1201" s="27">
        <v>45941</v>
      </c>
      <c r="E1201" s="2"/>
      <c r="F1201" s="2" t="s">
        <v>8</v>
      </c>
      <c r="G1201" s="24" t="s">
        <v>6</v>
      </c>
    </row>
    <row r="1202" spans="1:7" x14ac:dyDescent="0.2">
      <c r="A1202" s="2" t="s">
        <v>3778</v>
      </c>
      <c r="B1202" s="2" t="s">
        <v>3779</v>
      </c>
      <c r="C1202" s="2" t="s">
        <v>61</v>
      </c>
      <c r="D1202" s="27">
        <v>45944</v>
      </c>
      <c r="E1202" s="2"/>
      <c r="F1202" s="2" t="s">
        <v>8</v>
      </c>
      <c r="G1202" s="24" t="s">
        <v>59</v>
      </c>
    </row>
    <row r="1203" spans="1:7" x14ac:dyDescent="0.2">
      <c r="A1203" s="2" t="s">
        <v>3780</v>
      </c>
      <c r="B1203" s="2" t="s">
        <v>3781</v>
      </c>
      <c r="C1203" s="2" t="s">
        <v>61</v>
      </c>
      <c r="D1203" s="27">
        <v>45943</v>
      </c>
      <c r="E1203" s="2"/>
      <c r="F1203" s="2" t="s">
        <v>8</v>
      </c>
      <c r="G1203" s="24" t="s">
        <v>593</v>
      </c>
    </row>
    <row r="1204" spans="1:7" x14ac:dyDescent="0.2">
      <c r="A1204" s="2" t="s">
        <v>3782</v>
      </c>
      <c r="B1204" s="2" t="s">
        <v>3783</v>
      </c>
      <c r="C1204" s="2" t="s">
        <v>61</v>
      </c>
      <c r="D1204" s="27">
        <v>45943</v>
      </c>
      <c r="E1204" s="2"/>
      <c r="F1204" s="2" t="s">
        <v>8</v>
      </c>
      <c r="G1204" s="24" t="s">
        <v>57</v>
      </c>
    </row>
    <row r="1205" spans="1:7" x14ac:dyDescent="0.2">
      <c r="A1205" s="2" t="s">
        <v>3784</v>
      </c>
      <c r="B1205" s="2" t="s">
        <v>3785</v>
      </c>
      <c r="C1205" s="2" t="s">
        <v>61</v>
      </c>
      <c r="D1205" s="27">
        <v>45937</v>
      </c>
      <c r="E1205" s="2"/>
      <c r="F1205" s="2" t="s">
        <v>8</v>
      </c>
      <c r="G1205" s="24" t="s">
        <v>59</v>
      </c>
    </row>
    <row r="1206" spans="1:7" x14ac:dyDescent="0.2">
      <c r="A1206" s="2" t="s">
        <v>3786</v>
      </c>
      <c r="B1206" s="2" t="s">
        <v>3787</v>
      </c>
      <c r="C1206" s="2" t="s">
        <v>61</v>
      </c>
      <c r="D1206" s="27">
        <v>45931</v>
      </c>
      <c r="E1206" s="2"/>
      <c r="F1206" s="2" t="s">
        <v>8</v>
      </c>
      <c r="G1206" s="24" t="s">
        <v>97</v>
      </c>
    </row>
    <row r="1207" spans="1:7" x14ac:dyDescent="0.2">
      <c r="A1207" s="2" t="s">
        <v>3788</v>
      </c>
      <c r="B1207" s="2" t="s">
        <v>3789</v>
      </c>
      <c r="C1207" s="2" t="s">
        <v>61</v>
      </c>
      <c r="D1207" s="27">
        <v>45931</v>
      </c>
      <c r="E1207" s="2"/>
      <c r="F1207" s="2" t="s">
        <v>8</v>
      </c>
      <c r="G1207" s="24" t="s">
        <v>1368</v>
      </c>
    </row>
    <row r="1208" spans="1:7" x14ac:dyDescent="0.2">
      <c r="A1208" s="2" t="s">
        <v>3790</v>
      </c>
      <c r="B1208" s="2" t="s">
        <v>3791</v>
      </c>
      <c r="C1208" s="2" t="s">
        <v>61</v>
      </c>
      <c r="D1208" s="27">
        <v>45937</v>
      </c>
      <c r="E1208" s="2"/>
      <c r="F1208" s="2" t="s">
        <v>8</v>
      </c>
      <c r="G1208" s="24" t="s">
        <v>3896</v>
      </c>
    </row>
    <row r="1209" spans="1:7" x14ac:dyDescent="0.2">
      <c r="A1209" s="2" t="s">
        <v>3792</v>
      </c>
      <c r="B1209" s="2" t="s">
        <v>3793</v>
      </c>
      <c r="C1209" s="2" t="s">
        <v>61</v>
      </c>
      <c r="D1209" s="27">
        <v>45950</v>
      </c>
      <c r="E1209" s="2"/>
      <c r="F1209" s="2" t="s">
        <v>8</v>
      </c>
      <c r="G1209" s="24" t="s">
        <v>65</v>
      </c>
    </row>
    <row r="1210" spans="1:7" x14ac:dyDescent="0.2">
      <c r="A1210" s="2" t="s">
        <v>3794</v>
      </c>
      <c r="B1210" s="2" t="s">
        <v>3795</v>
      </c>
      <c r="C1210" s="2" t="s">
        <v>61</v>
      </c>
      <c r="D1210" s="27">
        <v>45933</v>
      </c>
      <c r="E1210" s="2"/>
      <c r="F1210" s="2" t="s">
        <v>8</v>
      </c>
      <c r="G1210" s="24" t="s">
        <v>65</v>
      </c>
    </row>
    <row r="1211" spans="1:7" x14ac:dyDescent="0.2">
      <c r="A1211" s="2" t="s">
        <v>3796</v>
      </c>
      <c r="B1211" s="2" t="s">
        <v>3797</v>
      </c>
      <c r="C1211" s="2" t="s">
        <v>61</v>
      </c>
      <c r="D1211" s="27">
        <v>45945</v>
      </c>
      <c r="E1211" s="2"/>
      <c r="F1211" s="2" t="s">
        <v>8</v>
      </c>
      <c r="G1211" s="24" t="s">
        <v>79</v>
      </c>
    </row>
    <row r="1212" spans="1:7" x14ac:dyDescent="0.2">
      <c r="A1212" s="2" t="s">
        <v>3798</v>
      </c>
      <c r="B1212" s="2" t="s">
        <v>3799</v>
      </c>
      <c r="C1212" s="2" t="s">
        <v>61</v>
      </c>
      <c r="D1212" s="27">
        <v>45939</v>
      </c>
      <c r="E1212" s="2"/>
      <c r="F1212" s="2" t="s">
        <v>8</v>
      </c>
      <c r="G1212" s="24" t="s">
        <v>3895</v>
      </c>
    </row>
    <row r="1213" spans="1:7" x14ac:dyDescent="0.2">
      <c r="A1213" s="2" t="s">
        <v>3800</v>
      </c>
      <c r="B1213" s="2" t="s">
        <v>3801</v>
      </c>
      <c r="C1213" s="2" t="s">
        <v>61</v>
      </c>
      <c r="D1213" s="27">
        <v>45952</v>
      </c>
      <c r="E1213" s="2"/>
      <c r="F1213" s="2" t="s">
        <v>8</v>
      </c>
      <c r="G1213" s="24" t="s">
        <v>3895</v>
      </c>
    </row>
    <row r="1214" spans="1:7" x14ac:dyDescent="0.2">
      <c r="A1214" s="2" t="s">
        <v>3802</v>
      </c>
      <c r="B1214" s="2" t="s">
        <v>3803</v>
      </c>
      <c r="C1214" s="2" t="s">
        <v>61</v>
      </c>
      <c r="D1214" s="27">
        <v>45945</v>
      </c>
      <c r="E1214" s="2"/>
      <c r="F1214" s="2" t="s">
        <v>8</v>
      </c>
      <c r="G1214" s="24" t="s">
        <v>1365</v>
      </c>
    </row>
    <row r="1215" spans="1:7" x14ac:dyDescent="0.2">
      <c r="A1215" s="2" t="s">
        <v>3804</v>
      </c>
      <c r="B1215" s="2" t="s">
        <v>3805</v>
      </c>
      <c r="C1215" s="2" t="s">
        <v>61</v>
      </c>
      <c r="D1215" s="27">
        <v>45939</v>
      </c>
      <c r="E1215" s="2"/>
      <c r="F1215" s="2" t="s">
        <v>8</v>
      </c>
      <c r="G1215" s="24" t="s">
        <v>65</v>
      </c>
    </row>
    <row r="1216" spans="1:7" x14ac:dyDescent="0.2">
      <c r="A1216" s="2" t="s">
        <v>3806</v>
      </c>
      <c r="B1216" s="2" t="s">
        <v>3807</v>
      </c>
      <c r="C1216" s="2" t="s">
        <v>61</v>
      </c>
      <c r="D1216" s="27">
        <v>45931</v>
      </c>
      <c r="E1216" s="2"/>
      <c r="F1216" s="2" t="s">
        <v>8</v>
      </c>
      <c r="G1216" s="24" t="s">
        <v>3896</v>
      </c>
    </row>
    <row r="1217" spans="1:8" x14ac:dyDescent="0.2">
      <c r="A1217" s="2" t="s">
        <v>3808</v>
      </c>
      <c r="B1217" s="2" t="s">
        <v>3809</v>
      </c>
      <c r="C1217" s="2" t="s">
        <v>61</v>
      </c>
      <c r="D1217" s="27">
        <v>45945</v>
      </c>
      <c r="E1217" s="2"/>
      <c r="F1217" s="2" t="s">
        <v>8</v>
      </c>
      <c r="G1217" s="24" t="s">
        <v>6</v>
      </c>
    </row>
    <row r="1218" spans="1:8" x14ac:dyDescent="0.2">
      <c r="A1218" s="2" t="s">
        <v>3810</v>
      </c>
      <c r="B1218" s="2" t="s">
        <v>3811</v>
      </c>
      <c r="C1218" s="2" t="s">
        <v>61</v>
      </c>
      <c r="D1218" s="27">
        <v>45959</v>
      </c>
      <c r="E1218" s="2"/>
      <c r="F1218" s="2" t="s">
        <v>8</v>
      </c>
      <c r="G1218" s="24" t="s">
        <v>593</v>
      </c>
    </row>
    <row r="1219" spans="1:8" x14ac:dyDescent="0.2">
      <c r="A1219" s="2" t="s">
        <v>3812</v>
      </c>
      <c r="B1219" s="2" t="s">
        <v>3813</v>
      </c>
      <c r="C1219" s="2" t="s">
        <v>61</v>
      </c>
      <c r="D1219" s="27">
        <v>45945</v>
      </c>
      <c r="E1219" s="2"/>
      <c r="F1219" s="2" t="s">
        <v>8</v>
      </c>
      <c r="G1219" s="24" t="s">
        <v>65</v>
      </c>
    </row>
    <row r="1220" spans="1:8" x14ac:dyDescent="0.2">
      <c r="A1220" s="2" t="s">
        <v>3814</v>
      </c>
      <c r="B1220" s="2" t="s">
        <v>3815</v>
      </c>
      <c r="C1220" s="2" t="s">
        <v>61</v>
      </c>
      <c r="D1220" s="27">
        <v>45951</v>
      </c>
      <c r="E1220" s="2"/>
      <c r="F1220" s="2" t="s">
        <v>8</v>
      </c>
      <c r="G1220" s="24" t="s">
        <v>58</v>
      </c>
    </row>
    <row r="1221" spans="1:8" x14ac:dyDescent="0.2">
      <c r="A1221" s="2" t="s">
        <v>3816</v>
      </c>
      <c r="B1221" s="2" t="s">
        <v>3817</v>
      </c>
      <c r="C1221" s="2" t="s">
        <v>61</v>
      </c>
      <c r="D1221" s="27">
        <v>45940</v>
      </c>
      <c r="E1221" s="2"/>
      <c r="F1221" s="2" t="s">
        <v>8</v>
      </c>
      <c r="G1221" s="24" t="s">
        <v>1365</v>
      </c>
    </row>
    <row r="1222" spans="1:8" x14ac:dyDescent="0.2">
      <c r="A1222" s="4" t="s">
        <v>3818</v>
      </c>
      <c r="B1222" s="4" t="s">
        <v>3819</v>
      </c>
      <c r="C1222" s="4" t="s">
        <v>61</v>
      </c>
      <c r="D1222" s="5">
        <v>45953</v>
      </c>
      <c r="E1222" s="4"/>
      <c r="F1222" s="4" t="s">
        <v>589</v>
      </c>
      <c r="G1222" s="4" t="s">
        <v>58</v>
      </c>
      <c r="H1222" s="4" t="s">
        <v>88</v>
      </c>
    </row>
    <row r="1223" spans="1:8" x14ac:dyDescent="0.2">
      <c r="A1223" s="4" t="s">
        <v>3820</v>
      </c>
      <c r="B1223" s="4" t="s">
        <v>3821</v>
      </c>
      <c r="C1223" s="4" t="s">
        <v>61</v>
      </c>
      <c r="D1223" s="5">
        <v>45950</v>
      </c>
      <c r="E1223" s="5">
        <v>45958</v>
      </c>
      <c r="F1223" s="4" t="s">
        <v>9</v>
      </c>
      <c r="G1223" s="4" t="s">
        <v>3894</v>
      </c>
      <c r="H1223" s="4" t="s">
        <v>88</v>
      </c>
    </row>
    <row r="1224" spans="1:8" x14ac:dyDescent="0.2">
      <c r="A1224" s="4" t="s">
        <v>3822</v>
      </c>
      <c r="B1224" s="4" t="s">
        <v>3823</v>
      </c>
      <c r="C1224" s="4" t="s">
        <v>61</v>
      </c>
      <c r="D1224" s="5">
        <v>45943</v>
      </c>
      <c r="E1224" s="5">
        <v>45945</v>
      </c>
      <c r="F1224" s="4" t="s">
        <v>9</v>
      </c>
      <c r="G1224" s="4" t="s">
        <v>590</v>
      </c>
      <c r="H1224" s="4" t="s">
        <v>88</v>
      </c>
    </row>
    <row r="1225" spans="1:8" x14ac:dyDescent="0.2">
      <c r="A1225" s="4" t="s">
        <v>3824</v>
      </c>
      <c r="B1225" s="4" t="s">
        <v>3825</v>
      </c>
      <c r="C1225" s="4" t="s">
        <v>61</v>
      </c>
      <c r="D1225" s="5">
        <v>45937</v>
      </c>
      <c r="E1225" s="5">
        <v>45938</v>
      </c>
      <c r="F1225" s="4" t="s">
        <v>9</v>
      </c>
      <c r="G1225" s="4" t="s">
        <v>3896</v>
      </c>
      <c r="H1225" s="4" t="s">
        <v>88</v>
      </c>
    </row>
    <row r="1226" spans="1:8" x14ac:dyDescent="0.2">
      <c r="A1226" s="4" t="s">
        <v>3826</v>
      </c>
      <c r="B1226" s="4" t="s">
        <v>3827</v>
      </c>
      <c r="C1226" s="4" t="s">
        <v>61</v>
      </c>
      <c r="D1226" s="5">
        <v>45951</v>
      </c>
      <c r="E1226" s="5">
        <v>45952</v>
      </c>
      <c r="F1226" s="4" t="s">
        <v>9</v>
      </c>
      <c r="G1226" s="4" t="s">
        <v>3896</v>
      </c>
      <c r="H1226" s="4" t="s">
        <v>88</v>
      </c>
    </row>
    <row r="1227" spans="1:8" x14ac:dyDescent="0.2">
      <c r="A1227" s="4" t="s">
        <v>3828</v>
      </c>
      <c r="B1227" s="4" t="s">
        <v>3829</v>
      </c>
      <c r="C1227" s="4" t="s">
        <v>61</v>
      </c>
      <c r="D1227" s="5">
        <v>45951</v>
      </c>
      <c r="E1227" s="5">
        <v>45952</v>
      </c>
      <c r="F1227" s="4" t="s">
        <v>9</v>
      </c>
      <c r="G1227" s="4" t="s">
        <v>1365</v>
      </c>
      <c r="H1227" s="4" t="s">
        <v>88</v>
      </c>
    </row>
    <row r="1228" spans="1:8" x14ac:dyDescent="0.2">
      <c r="A1228" s="4" t="s">
        <v>3830</v>
      </c>
      <c r="B1228" s="4" t="s">
        <v>3831</v>
      </c>
      <c r="C1228" s="4" t="s">
        <v>61</v>
      </c>
      <c r="D1228" s="5">
        <v>45945</v>
      </c>
      <c r="E1228" s="5">
        <v>45958</v>
      </c>
      <c r="F1228" s="4" t="s">
        <v>9</v>
      </c>
      <c r="G1228" s="4" t="s">
        <v>6</v>
      </c>
      <c r="H1228" s="4" t="s">
        <v>88</v>
      </c>
    </row>
    <row r="1229" spans="1:8" x14ac:dyDescent="0.2">
      <c r="A1229" s="4" t="s">
        <v>3832</v>
      </c>
      <c r="B1229" s="4" t="s">
        <v>3833</v>
      </c>
      <c r="C1229" s="4" t="s">
        <v>61</v>
      </c>
      <c r="D1229" s="5">
        <v>45931</v>
      </c>
      <c r="E1229" s="5">
        <v>45950</v>
      </c>
      <c r="F1229" s="4" t="s">
        <v>9</v>
      </c>
      <c r="G1229" s="4" t="s">
        <v>6</v>
      </c>
      <c r="H1229" s="4" t="s">
        <v>88</v>
      </c>
    </row>
    <row r="1230" spans="1:8" x14ac:dyDescent="0.2">
      <c r="A1230" s="4" t="s">
        <v>3834</v>
      </c>
      <c r="B1230" s="4" t="s">
        <v>3835</v>
      </c>
      <c r="C1230" s="4" t="s">
        <v>61</v>
      </c>
      <c r="D1230" s="5">
        <v>45937</v>
      </c>
      <c r="E1230" s="5">
        <v>45943</v>
      </c>
      <c r="F1230" s="4" t="s">
        <v>9</v>
      </c>
      <c r="G1230" s="4" t="s">
        <v>59</v>
      </c>
      <c r="H1230" s="4" t="s">
        <v>88</v>
      </c>
    </row>
    <row r="1231" spans="1:8" x14ac:dyDescent="0.2">
      <c r="A1231" s="4" t="s">
        <v>3836</v>
      </c>
      <c r="B1231" s="4" t="s">
        <v>3837</v>
      </c>
      <c r="C1231" s="4" t="s">
        <v>61</v>
      </c>
      <c r="D1231" s="5">
        <v>45950</v>
      </c>
      <c r="E1231" s="5">
        <v>45959</v>
      </c>
      <c r="F1231" s="4" t="s">
        <v>9</v>
      </c>
      <c r="G1231" s="4" t="s">
        <v>593</v>
      </c>
      <c r="H1231" s="4" t="s">
        <v>88</v>
      </c>
    </row>
    <row r="1232" spans="1:8" x14ac:dyDescent="0.2">
      <c r="A1232" s="4" t="s">
        <v>3838</v>
      </c>
      <c r="B1232" s="4" t="s">
        <v>3839</v>
      </c>
      <c r="C1232" s="4" t="s">
        <v>61</v>
      </c>
      <c r="D1232" s="5">
        <v>45951</v>
      </c>
      <c r="E1232" s="5">
        <v>45952</v>
      </c>
      <c r="F1232" s="4" t="s">
        <v>9</v>
      </c>
      <c r="G1232" s="4" t="s">
        <v>593</v>
      </c>
      <c r="H1232" s="4" t="s">
        <v>88</v>
      </c>
    </row>
    <row r="1233" spans="1:8" x14ac:dyDescent="0.2">
      <c r="A1233" s="4" t="s">
        <v>3840</v>
      </c>
      <c r="B1233" s="4" t="s">
        <v>3841</v>
      </c>
      <c r="C1233" s="4" t="s">
        <v>61</v>
      </c>
      <c r="D1233" s="5">
        <v>45960</v>
      </c>
      <c r="E1233" s="5">
        <v>45961</v>
      </c>
      <c r="F1233" s="4" t="s">
        <v>9</v>
      </c>
      <c r="G1233" s="4" t="s">
        <v>3896</v>
      </c>
      <c r="H1233" s="4" t="s">
        <v>88</v>
      </c>
    </row>
    <row r="1234" spans="1:8" x14ac:dyDescent="0.2">
      <c r="A1234" s="4" t="s">
        <v>3842</v>
      </c>
      <c r="B1234" s="4" t="s">
        <v>3843</v>
      </c>
      <c r="C1234" s="4" t="s">
        <v>61</v>
      </c>
      <c r="D1234" s="5">
        <v>45953</v>
      </c>
      <c r="E1234" s="5">
        <v>45960</v>
      </c>
      <c r="F1234" s="4" t="s">
        <v>9</v>
      </c>
      <c r="G1234" s="4" t="s">
        <v>96</v>
      </c>
      <c r="H1234" s="4" t="s">
        <v>88</v>
      </c>
    </row>
    <row r="1235" spans="1:8" x14ac:dyDescent="0.2">
      <c r="A1235" s="4" t="s">
        <v>3844</v>
      </c>
      <c r="B1235" s="4" t="s">
        <v>3845</v>
      </c>
      <c r="C1235" s="4" t="s">
        <v>61</v>
      </c>
      <c r="D1235" s="5">
        <v>45932</v>
      </c>
      <c r="E1235" s="5">
        <v>45936</v>
      </c>
      <c r="F1235" s="4" t="s">
        <v>9</v>
      </c>
      <c r="G1235" s="4" t="s">
        <v>96</v>
      </c>
      <c r="H1235" s="4" t="s">
        <v>88</v>
      </c>
    </row>
    <row r="1236" spans="1:8" x14ac:dyDescent="0.2">
      <c r="A1236" s="4" t="s">
        <v>3846</v>
      </c>
      <c r="B1236" s="4" t="s">
        <v>3847</v>
      </c>
      <c r="C1236" s="4" t="s">
        <v>61</v>
      </c>
      <c r="D1236" s="5">
        <v>45944</v>
      </c>
      <c r="E1236" s="5">
        <v>45945</v>
      </c>
      <c r="F1236" s="4" t="s">
        <v>9</v>
      </c>
      <c r="G1236" s="4" t="s">
        <v>65</v>
      </c>
      <c r="H1236" s="4" t="s">
        <v>88</v>
      </c>
    </row>
    <row r="1237" spans="1:8" x14ac:dyDescent="0.2">
      <c r="A1237" s="4" t="s">
        <v>3848</v>
      </c>
      <c r="B1237" s="4" t="s">
        <v>3849</v>
      </c>
      <c r="C1237" s="4" t="s">
        <v>61</v>
      </c>
      <c r="D1237" s="5">
        <v>45944</v>
      </c>
      <c r="E1237" s="5">
        <v>45945</v>
      </c>
      <c r="F1237" s="4" t="s">
        <v>9</v>
      </c>
      <c r="G1237" s="4" t="s">
        <v>65</v>
      </c>
      <c r="H1237" s="4" t="s">
        <v>88</v>
      </c>
    </row>
    <row r="1238" spans="1:8" x14ac:dyDescent="0.2">
      <c r="A1238" s="4" t="s">
        <v>3850</v>
      </c>
      <c r="B1238" s="4" t="s">
        <v>3851</v>
      </c>
      <c r="C1238" s="4" t="s">
        <v>61</v>
      </c>
      <c r="D1238" s="5">
        <v>45946</v>
      </c>
      <c r="E1238" s="5">
        <v>45950</v>
      </c>
      <c r="F1238" s="4" t="s">
        <v>9</v>
      </c>
      <c r="G1238" s="4" t="s">
        <v>65</v>
      </c>
      <c r="H1238" s="4" t="s">
        <v>88</v>
      </c>
    </row>
    <row r="1239" spans="1:8" x14ac:dyDescent="0.2">
      <c r="A1239" s="4" t="s">
        <v>3852</v>
      </c>
      <c r="B1239" s="4" t="s">
        <v>3853</v>
      </c>
      <c r="C1239" s="4" t="s">
        <v>61</v>
      </c>
      <c r="D1239" s="5">
        <v>45946</v>
      </c>
      <c r="E1239" s="5">
        <v>45947</v>
      </c>
      <c r="F1239" s="4" t="s">
        <v>9</v>
      </c>
      <c r="G1239" s="4" t="s">
        <v>65</v>
      </c>
      <c r="H1239" s="4" t="s">
        <v>88</v>
      </c>
    </row>
    <row r="1240" spans="1:8" x14ac:dyDescent="0.2">
      <c r="A1240" s="4" t="s">
        <v>3854</v>
      </c>
      <c r="B1240" s="4" t="s">
        <v>3855</v>
      </c>
      <c r="C1240" s="4" t="s">
        <v>61</v>
      </c>
      <c r="D1240" s="5">
        <v>45951</v>
      </c>
      <c r="E1240" s="5">
        <v>45952</v>
      </c>
      <c r="F1240" s="4" t="s">
        <v>9</v>
      </c>
      <c r="G1240" s="4" t="s">
        <v>79</v>
      </c>
      <c r="H1240" s="4" t="s">
        <v>88</v>
      </c>
    </row>
    <row r="1241" spans="1:8" x14ac:dyDescent="0.2">
      <c r="A1241" s="4" t="s">
        <v>3856</v>
      </c>
      <c r="B1241" s="4" t="s">
        <v>3857</v>
      </c>
      <c r="C1241" s="4" t="s">
        <v>61</v>
      </c>
      <c r="D1241" s="5">
        <v>45946</v>
      </c>
      <c r="E1241" s="5">
        <v>45947</v>
      </c>
      <c r="F1241" s="4" t="s">
        <v>9</v>
      </c>
      <c r="G1241" s="4" t="s">
        <v>79</v>
      </c>
      <c r="H1241" s="4" t="s">
        <v>88</v>
      </c>
    </row>
    <row r="1242" spans="1:8" x14ac:dyDescent="0.2">
      <c r="A1242" s="4" t="s">
        <v>3858</v>
      </c>
      <c r="B1242" s="4" t="s">
        <v>3859</v>
      </c>
      <c r="C1242" s="4" t="s">
        <v>61</v>
      </c>
      <c r="D1242" s="5">
        <v>45945</v>
      </c>
      <c r="E1242" s="5">
        <v>45959</v>
      </c>
      <c r="F1242" s="4" t="s">
        <v>9</v>
      </c>
      <c r="G1242" s="4" t="s">
        <v>79</v>
      </c>
      <c r="H1242" s="4" t="s">
        <v>88</v>
      </c>
    </row>
    <row r="1243" spans="1:8" x14ac:dyDescent="0.2">
      <c r="A1243" s="4" t="s">
        <v>3860</v>
      </c>
      <c r="B1243" s="4" t="s">
        <v>3861</v>
      </c>
      <c r="C1243" s="4" t="s">
        <v>61</v>
      </c>
      <c r="D1243" s="5">
        <v>45946</v>
      </c>
      <c r="E1243" s="5">
        <v>45950</v>
      </c>
      <c r="F1243" s="4" t="s">
        <v>9</v>
      </c>
      <c r="G1243" s="4" t="s">
        <v>3901</v>
      </c>
      <c r="H1243" s="4" t="s">
        <v>88</v>
      </c>
    </row>
    <row r="1244" spans="1:8" x14ac:dyDescent="0.2">
      <c r="A1244" s="4" t="s">
        <v>3862</v>
      </c>
      <c r="B1244" s="4" t="s">
        <v>3863</v>
      </c>
      <c r="C1244" s="4" t="s">
        <v>61</v>
      </c>
      <c r="D1244" s="5">
        <v>45936</v>
      </c>
      <c r="E1244" s="5">
        <v>45950</v>
      </c>
      <c r="F1244" s="4" t="s">
        <v>9</v>
      </c>
      <c r="G1244" s="4" t="s">
        <v>95</v>
      </c>
      <c r="H1244" s="4" t="s">
        <v>88</v>
      </c>
    </row>
    <row r="1245" spans="1:8" x14ac:dyDescent="0.2">
      <c r="A1245" s="4" t="s">
        <v>3864</v>
      </c>
      <c r="B1245" s="4" t="s">
        <v>3865</v>
      </c>
      <c r="C1245" s="4" t="s">
        <v>61</v>
      </c>
      <c r="D1245" s="5">
        <v>45950</v>
      </c>
      <c r="E1245" s="5">
        <v>45951</v>
      </c>
      <c r="F1245" s="4" t="s">
        <v>9</v>
      </c>
      <c r="G1245" s="4" t="s">
        <v>591</v>
      </c>
      <c r="H1245" s="4" t="s">
        <v>88</v>
      </c>
    </row>
    <row r="1246" spans="1:8" x14ac:dyDescent="0.2">
      <c r="A1246" s="4" t="s">
        <v>3866</v>
      </c>
      <c r="B1246" s="4" t="s">
        <v>3867</v>
      </c>
      <c r="C1246" s="4" t="s">
        <v>61</v>
      </c>
      <c r="D1246" s="5">
        <v>45932</v>
      </c>
      <c r="E1246" s="5">
        <v>45936</v>
      </c>
      <c r="F1246" s="4" t="s">
        <v>9</v>
      </c>
      <c r="G1246" s="4" t="s">
        <v>95</v>
      </c>
      <c r="H1246" s="4" t="s">
        <v>88</v>
      </c>
    </row>
    <row r="1247" spans="1:8" x14ac:dyDescent="0.2">
      <c r="A1247" s="4" t="s">
        <v>3868</v>
      </c>
      <c r="B1247" s="4" t="s">
        <v>3869</v>
      </c>
      <c r="C1247" s="4" t="s">
        <v>61</v>
      </c>
      <c r="D1247" s="5">
        <v>45957</v>
      </c>
      <c r="E1247" s="5">
        <v>45960</v>
      </c>
      <c r="F1247" s="4" t="s">
        <v>9</v>
      </c>
      <c r="G1247" s="4" t="s">
        <v>58</v>
      </c>
      <c r="H1247" s="4" t="s">
        <v>88</v>
      </c>
    </row>
    <row r="1248" spans="1:8" x14ac:dyDescent="0.2">
      <c r="A1248" s="4" t="s">
        <v>3870</v>
      </c>
      <c r="B1248" s="4" t="s">
        <v>3871</v>
      </c>
      <c r="C1248" s="4" t="s">
        <v>61</v>
      </c>
      <c r="D1248" s="5">
        <v>45947</v>
      </c>
      <c r="E1248" s="5">
        <v>45950</v>
      </c>
      <c r="F1248" s="4" t="s">
        <v>9</v>
      </c>
      <c r="G1248" s="4" t="s">
        <v>591</v>
      </c>
      <c r="H1248" s="4" t="s">
        <v>88</v>
      </c>
    </row>
    <row r="1249" spans="1:8" x14ac:dyDescent="0.2">
      <c r="A1249" s="4" t="s">
        <v>3872</v>
      </c>
      <c r="B1249" s="4" t="s">
        <v>3873</v>
      </c>
      <c r="C1249" s="4" t="s">
        <v>61</v>
      </c>
      <c r="D1249" s="5">
        <v>45937</v>
      </c>
      <c r="E1249" s="5">
        <v>45954</v>
      </c>
      <c r="F1249" s="4" t="s">
        <v>9</v>
      </c>
      <c r="G1249" s="4" t="s">
        <v>3895</v>
      </c>
      <c r="H1249" s="4" t="s">
        <v>88</v>
      </c>
    </row>
    <row r="1250" spans="1:8" x14ac:dyDescent="0.2">
      <c r="A1250" s="4" t="s">
        <v>3874</v>
      </c>
      <c r="B1250" s="4" t="s">
        <v>3875</v>
      </c>
      <c r="C1250" s="4" t="s">
        <v>61</v>
      </c>
      <c r="D1250" s="5">
        <v>45944</v>
      </c>
      <c r="E1250" s="5">
        <v>45945</v>
      </c>
      <c r="F1250" s="4" t="s">
        <v>9</v>
      </c>
      <c r="G1250" s="4" t="s">
        <v>3895</v>
      </c>
      <c r="H1250" s="4" t="s">
        <v>88</v>
      </c>
    </row>
    <row r="1251" spans="1:8" x14ac:dyDescent="0.2">
      <c r="A1251" s="4" t="s">
        <v>3876</v>
      </c>
      <c r="B1251" s="4" t="s">
        <v>3877</v>
      </c>
      <c r="C1251" s="4" t="s">
        <v>61</v>
      </c>
      <c r="D1251" s="5">
        <v>45946</v>
      </c>
      <c r="E1251" s="5">
        <v>45952</v>
      </c>
      <c r="F1251" s="4" t="s">
        <v>9</v>
      </c>
      <c r="G1251" s="4" t="s">
        <v>3895</v>
      </c>
      <c r="H1251" s="4" t="s">
        <v>88</v>
      </c>
    </row>
    <row r="1252" spans="1:8" x14ac:dyDescent="0.2">
      <c r="A1252" s="4" t="s">
        <v>3878</v>
      </c>
      <c r="B1252" s="4" t="s">
        <v>3879</v>
      </c>
      <c r="C1252" s="4" t="s">
        <v>61</v>
      </c>
      <c r="D1252" s="5">
        <v>45958</v>
      </c>
      <c r="E1252" s="5">
        <v>45959</v>
      </c>
      <c r="F1252" s="4" t="s">
        <v>9</v>
      </c>
      <c r="G1252" s="4" t="s">
        <v>3895</v>
      </c>
      <c r="H1252" s="4" t="s">
        <v>88</v>
      </c>
    </row>
    <row r="1253" spans="1:8" x14ac:dyDescent="0.2">
      <c r="A1253" s="4" t="s">
        <v>3880</v>
      </c>
      <c r="B1253" s="4" t="s">
        <v>3881</v>
      </c>
      <c r="C1253" s="4" t="s">
        <v>61</v>
      </c>
      <c r="D1253" s="5">
        <v>45932</v>
      </c>
      <c r="E1253" s="5">
        <v>45940</v>
      </c>
      <c r="F1253" s="4" t="s">
        <v>9</v>
      </c>
      <c r="G1253" s="4" t="s">
        <v>3895</v>
      </c>
      <c r="H1253" s="4" t="s">
        <v>88</v>
      </c>
    </row>
    <row r="1254" spans="1:8" x14ac:dyDescent="0.2">
      <c r="A1254" s="4" t="s">
        <v>3882</v>
      </c>
      <c r="B1254" s="4" t="s">
        <v>3883</v>
      </c>
      <c r="C1254" s="4" t="s">
        <v>61</v>
      </c>
      <c r="D1254" s="5">
        <v>45936</v>
      </c>
      <c r="E1254" s="5">
        <v>45937</v>
      </c>
      <c r="F1254" s="4" t="s">
        <v>9</v>
      </c>
      <c r="G1254" s="4" t="s">
        <v>3895</v>
      </c>
      <c r="H1254" s="4" t="s">
        <v>88</v>
      </c>
    </row>
    <row r="1255" spans="1:8" x14ac:dyDescent="0.2">
      <c r="A1255" s="4" t="s">
        <v>3884</v>
      </c>
      <c r="B1255" s="4" t="s">
        <v>3885</v>
      </c>
      <c r="C1255" s="4" t="s">
        <v>64</v>
      </c>
      <c r="D1255" s="5">
        <v>45960</v>
      </c>
      <c r="E1255" s="4"/>
      <c r="F1255" s="4" t="s">
        <v>8</v>
      </c>
      <c r="G1255" s="4" t="s">
        <v>593</v>
      </c>
      <c r="H1255" s="4" t="s">
        <v>88</v>
      </c>
    </row>
    <row r="1256" spans="1:8" x14ac:dyDescent="0.2">
      <c r="A1256" s="4" t="s">
        <v>3886</v>
      </c>
      <c r="B1256" s="4" t="s">
        <v>3887</v>
      </c>
      <c r="C1256" s="4" t="s">
        <v>64</v>
      </c>
      <c r="D1256" s="5">
        <v>45957</v>
      </c>
      <c r="E1256" s="4"/>
      <c r="F1256" s="4" t="s">
        <v>8</v>
      </c>
      <c r="G1256" s="4" t="s">
        <v>1367</v>
      </c>
      <c r="H1256" s="4" t="s">
        <v>88</v>
      </c>
    </row>
    <row r="1257" spans="1:8" x14ac:dyDescent="0.2">
      <c r="A1257" s="4" t="s">
        <v>3888</v>
      </c>
      <c r="B1257" s="4" t="s">
        <v>3889</v>
      </c>
      <c r="C1257" s="4" t="s">
        <v>64</v>
      </c>
      <c r="D1257" s="5">
        <v>45951</v>
      </c>
      <c r="E1257" s="4"/>
      <c r="F1257" s="4" t="s">
        <v>8</v>
      </c>
      <c r="G1257" s="4" t="s">
        <v>95</v>
      </c>
      <c r="H1257" s="4" t="s">
        <v>88</v>
      </c>
    </row>
    <row r="1258" spans="1:8" x14ac:dyDescent="0.2">
      <c r="A1258" s="4" t="s">
        <v>3890</v>
      </c>
      <c r="B1258" s="4" t="s">
        <v>3891</v>
      </c>
      <c r="C1258" s="4" t="s">
        <v>64</v>
      </c>
      <c r="D1258" s="5">
        <v>45958</v>
      </c>
      <c r="E1258" s="4"/>
      <c r="F1258" s="4" t="s">
        <v>8</v>
      </c>
      <c r="G1258" s="4" t="s">
        <v>95</v>
      </c>
      <c r="H1258" s="4" t="s">
        <v>88</v>
      </c>
    </row>
    <row r="1259" spans="1:8" x14ac:dyDescent="0.2">
      <c r="A1259" s="4" t="s">
        <v>3892</v>
      </c>
      <c r="B1259" s="4" t="s">
        <v>3893</v>
      </c>
      <c r="C1259" s="4" t="s">
        <v>64</v>
      </c>
      <c r="D1259" s="5">
        <v>45944</v>
      </c>
      <c r="E1259" s="4"/>
      <c r="F1259" s="4" t="s">
        <v>8</v>
      </c>
      <c r="G1259" s="4" t="s">
        <v>95</v>
      </c>
      <c r="H1259" s="4" t="s">
        <v>88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8B6A-8284-4B1E-9073-C65ECD0DD5D8}">
  <dimension ref="A1:M1002"/>
  <sheetViews>
    <sheetView workbookViewId="0">
      <selection activeCell="D38" sqref="D38"/>
    </sheetView>
  </sheetViews>
  <sheetFormatPr defaultColWidth="8.85546875" defaultRowHeight="11.25" x14ac:dyDescent="0.2"/>
  <cols>
    <col min="1" max="1" width="13.7109375" style="2" customWidth="1"/>
    <col min="2" max="2" width="27.5703125" style="2" customWidth="1"/>
    <col min="3" max="4" width="12.28515625" style="2" customWidth="1"/>
    <col min="5" max="5" width="11.28515625" style="2" bestFit="1" customWidth="1"/>
    <col min="6" max="6" width="11.28515625" style="27" customWidth="1"/>
    <col min="7" max="8" width="11.28515625" style="2" customWidth="1"/>
    <col min="9" max="9" width="20.140625" style="2" customWidth="1"/>
    <col min="10" max="12" width="9" style="2" bestFit="1" customWidth="1"/>
    <col min="13" max="13" width="14.28515625" style="2" bestFit="1" customWidth="1"/>
    <col min="14" max="16384" width="8.85546875" style="2"/>
  </cols>
  <sheetData>
    <row r="1" spans="1:13" x14ac:dyDescent="0.2">
      <c r="A1" s="3" t="s">
        <v>0</v>
      </c>
      <c r="B1" s="1" t="s">
        <v>11</v>
      </c>
      <c r="C1" s="1" t="s">
        <v>12</v>
      </c>
      <c r="D1" s="1" t="s">
        <v>50</v>
      </c>
      <c r="E1" s="1" t="s">
        <v>51</v>
      </c>
      <c r="F1" s="6" t="s">
        <v>4132</v>
      </c>
      <c r="G1" s="1" t="s">
        <v>4131</v>
      </c>
      <c r="H1" s="1" t="s">
        <v>4133</v>
      </c>
      <c r="I1" s="1" t="s">
        <v>13</v>
      </c>
      <c r="J1" s="1" t="s">
        <v>47</v>
      </c>
      <c r="K1" s="1" t="s">
        <v>48</v>
      </c>
      <c r="L1" s="1" t="s">
        <v>49</v>
      </c>
      <c r="M1" s="1" t="s">
        <v>14</v>
      </c>
    </row>
    <row r="2" spans="1:13" x14ac:dyDescent="0.2">
      <c r="A2" s="4" t="s">
        <v>3245</v>
      </c>
      <c r="B2" s="4" t="s">
        <v>3246</v>
      </c>
      <c r="C2" s="4" t="s">
        <v>4124</v>
      </c>
      <c r="D2" s="4" t="s">
        <v>63</v>
      </c>
      <c r="E2" s="4" t="s">
        <v>88</v>
      </c>
      <c r="F2" s="5"/>
      <c r="G2" s="4">
        <v>0</v>
      </c>
      <c r="H2" s="4"/>
      <c r="I2" s="4" t="s">
        <v>604</v>
      </c>
      <c r="J2" s="4">
        <v>140</v>
      </c>
      <c r="K2" s="4">
        <v>1.5</v>
      </c>
      <c r="L2" s="4">
        <v>0</v>
      </c>
      <c r="M2" s="4">
        <v>210</v>
      </c>
    </row>
    <row r="3" spans="1:13" x14ac:dyDescent="0.2">
      <c r="A3" s="4" t="s">
        <v>3247</v>
      </c>
      <c r="B3" s="4" t="s">
        <v>3248</v>
      </c>
      <c r="C3" s="4" t="s">
        <v>4125</v>
      </c>
      <c r="D3" s="4" t="s">
        <v>45</v>
      </c>
      <c r="E3" s="4" t="s">
        <v>88</v>
      </c>
      <c r="F3" s="5"/>
      <c r="G3" s="4">
        <v>0</v>
      </c>
      <c r="H3" s="4"/>
      <c r="I3" s="4" t="s">
        <v>604</v>
      </c>
      <c r="J3" s="4">
        <v>140</v>
      </c>
      <c r="K3" s="4">
        <v>1.5</v>
      </c>
      <c r="L3" s="4">
        <v>0</v>
      </c>
      <c r="M3" s="4">
        <v>210</v>
      </c>
    </row>
    <row r="4" spans="1:13" x14ac:dyDescent="0.2">
      <c r="A4" s="4" t="s">
        <v>1239</v>
      </c>
      <c r="B4" s="4" t="s">
        <v>1240</v>
      </c>
      <c r="C4" s="4" t="s">
        <v>7</v>
      </c>
      <c r="D4" s="4" t="s">
        <v>45</v>
      </c>
      <c r="E4" s="4" t="s">
        <v>88</v>
      </c>
      <c r="F4" s="5"/>
      <c r="G4" s="4">
        <v>0</v>
      </c>
      <c r="H4" s="4"/>
      <c r="I4" s="4" t="s">
        <v>90</v>
      </c>
      <c r="J4" s="4">
        <v>230</v>
      </c>
      <c r="K4" s="4">
        <v>1.5</v>
      </c>
      <c r="L4" s="4">
        <v>345</v>
      </c>
      <c r="M4" s="4">
        <v>0</v>
      </c>
    </row>
    <row r="5" spans="1:13" x14ac:dyDescent="0.2">
      <c r="A5" s="4" t="s">
        <v>1167</v>
      </c>
      <c r="B5" s="4" t="s">
        <v>1168</v>
      </c>
      <c r="C5" s="4" t="s">
        <v>7</v>
      </c>
      <c r="D5" s="4" t="s">
        <v>45</v>
      </c>
      <c r="E5" s="4" t="s">
        <v>88</v>
      </c>
      <c r="F5" s="5"/>
      <c r="G5" s="4">
        <v>0</v>
      </c>
      <c r="H5" s="4"/>
      <c r="I5" s="4" t="s">
        <v>25</v>
      </c>
      <c r="J5" s="4">
        <v>140</v>
      </c>
      <c r="K5" s="4">
        <v>1.5</v>
      </c>
      <c r="L5" s="4">
        <v>345</v>
      </c>
      <c r="M5" s="4">
        <v>0</v>
      </c>
    </row>
    <row r="6" spans="1:13" x14ac:dyDescent="0.2">
      <c r="A6" s="4" t="s">
        <v>3249</v>
      </c>
      <c r="B6" s="4" t="s">
        <v>3250</v>
      </c>
      <c r="C6" s="4" t="s">
        <v>54</v>
      </c>
      <c r="D6" s="4" t="s">
        <v>45</v>
      </c>
      <c r="E6" s="4" t="s">
        <v>88</v>
      </c>
      <c r="F6" s="5"/>
      <c r="G6" s="4">
        <v>0</v>
      </c>
      <c r="H6" s="4"/>
      <c r="I6" s="4" t="s">
        <v>25</v>
      </c>
      <c r="J6" s="4">
        <v>140</v>
      </c>
      <c r="K6" s="4">
        <v>1.5</v>
      </c>
      <c r="L6" s="4">
        <v>0</v>
      </c>
      <c r="M6" s="4">
        <v>210</v>
      </c>
    </row>
    <row r="7" spans="1:13" x14ac:dyDescent="0.2">
      <c r="A7" s="4" t="s">
        <v>575</v>
      </c>
      <c r="B7" s="4" t="s">
        <v>576</v>
      </c>
      <c r="C7" s="4" t="s">
        <v>91</v>
      </c>
      <c r="D7" s="4" t="s">
        <v>45</v>
      </c>
      <c r="E7" s="4" t="s">
        <v>88</v>
      </c>
      <c r="F7" s="5"/>
      <c r="G7" s="4">
        <v>0</v>
      </c>
      <c r="H7" s="4"/>
      <c r="I7" s="4" t="s">
        <v>25</v>
      </c>
      <c r="J7" s="4">
        <v>140</v>
      </c>
      <c r="K7" s="4">
        <v>1.5</v>
      </c>
      <c r="L7" s="4">
        <v>810</v>
      </c>
      <c r="M7" s="4">
        <v>0</v>
      </c>
    </row>
    <row r="8" spans="1:13" x14ac:dyDescent="0.2">
      <c r="A8" s="4" t="s">
        <v>3251</v>
      </c>
      <c r="B8" s="4" t="s">
        <v>3252</v>
      </c>
      <c r="C8" s="4" t="s">
        <v>4124</v>
      </c>
      <c r="D8" s="4" t="s">
        <v>63</v>
      </c>
      <c r="E8" s="4" t="s">
        <v>88</v>
      </c>
      <c r="F8" s="5"/>
      <c r="G8" s="4">
        <v>0</v>
      </c>
      <c r="H8" s="4"/>
      <c r="I8" s="4" t="s">
        <v>25</v>
      </c>
      <c r="J8" s="4">
        <v>140</v>
      </c>
      <c r="K8" s="4">
        <v>1.5</v>
      </c>
      <c r="L8" s="4">
        <v>0</v>
      </c>
      <c r="M8" s="4">
        <v>210</v>
      </c>
    </row>
    <row r="9" spans="1:13" x14ac:dyDescent="0.2">
      <c r="A9" s="4" t="s">
        <v>693</v>
      </c>
      <c r="B9" s="4" t="s">
        <v>694</v>
      </c>
      <c r="C9" s="4" t="s">
        <v>94</v>
      </c>
      <c r="D9" s="4" t="s">
        <v>45</v>
      </c>
      <c r="E9" s="4" t="s">
        <v>88</v>
      </c>
      <c r="F9" s="5"/>
      <c r="G9" s="4">
        <v>0</v>
      </c>
      <c r="H9" s="4"/>
      <c r="I9" s="4" t="s">
        <v>25</v>
      </c>
      <c r="J9" s="4">
        <v>140</v>
      </c>
      <c r="K9" s="4">
        <v>1.5</v>
      </c>
      <c r="L9" s="4">
        <v>0</v>
      </c>
      <c r="M9" s="4">
        <v>210</v>
      </c>
    </row>
    <row r="10" spans="1:13" x14ac:dyDescent="0.2">
      <c r="A10" s="4" t="s">
        <v>1311</v>
      </c>
      <c r="B10" s="4" t="s">
        <v>1312</v>
      </c>
      <c r="C10" s="4" t="s">
        <v>1366</v>
      </c>
      <c r="D10" s="4" t="s">
        <v>45</v>
      </c>
      <c r="E10" s="4" t="s">
        <v>88</v>
      </c>
      <c r="F10" s="5"/>
      <c r="G10" s="4">
        <v>0</v>
      </c>
      <c r="H10" s="4"/>
      <c r="I10" s="4" t="s">
        <v>25</v>
      </c>
      <c r="J10" s="4">
        <v>140</v>
      </c>
      <c r="K10" s="4">
        <v>1.5</v>
      </c>
      <c r="L10" s="4">
        <v>600</v>
      </c>
      <c r="M10" s="4">
        <v>0</v>
      </c>
    </row>
    <row r="11" spans="1:13" x14ac:dyDescent="0.2">
      <c r="A11" s="4" t="s">
        <v>701</v>
      </c>
      <c r="B11" s="4" t="s">
        <v>702</v>
      </c>
      <c r="C11" s="4" t="s">
        <v>66</v>
      </c>
      <c r="D11" s="4" t="s">
        <v>45</v>
      </c>
      <c r="E11" s="4" t="s">
        <v>88</v>
      </c>
      <c r="F11" s="5"/>
      <c r="G11" s="4">
        <v>0</v>
      </c>
      <c r="H11" s="4"/>
      <c r="I11" s="4" t="s">
        <v>25</v>
      </c>
      <c r="J11" s="4">
        <v>140</v>
      </c>
      <c r="K11" s="4">
        <v>1.5</v>
      </c>
      <c r="L11" s="4">
        <v>0</v>
      </c>
      <c r="M11" s="4">
        <v>210</v>
      </c>
    </row>
    <row r="12" spans="1:13" x14ac:dyDescent="0.2">
      <c r="A12" s="4" t="s">
        <v>3902</v>
      </c>
      <c r="B12" s="4" t="s">
        <v>3903</v>
      </c>
      <c r="C12" s="4" t="s">
        <v>592</v>
      </c>
      <c r="D12" s="4" t="s">
        <v>45</v>
      </c>
      <c r="E12" s="4" t="s">
        <v>88</v>
      </c>
      <c r="F12" s="5"/>
      <c r="G12" s="4">
        <v>0</v>
      </c>
      <c r="H12" s="4"/>
      <c r="I12" s="4" t="s">
        <v>25</v>
      </c>
      <c r="J12" s="4">
        <v>140</v>
      </c>
      <c r="K12" s="4">
        <v>1.5</v>
      </c>
      <c r="L12" s="4">
        <v>0</v>
      </c>
      <c r="M12" s="4">
        <v>210</v>
      </c>
    </row>
    <row r="13" spans="1:13" x14ac:dyDescent="0.2">
      <c r="A13" s="4" t="s">
        <v>735</v>
      </c>
      <c r="B13" s="4" t="s">
        <v>736</v>
      </c>
      <c r="C13" s="4" t="s">
        <v>592</v>
      </c>
      <c r="D13" s="4" t="s">
        <v>45</v>
      </c>
      <c r="E13" s="4" t="s">
        <v>88</v>
      </c>
      <c r="F13" s="5"/>
      <c r="G13" s="4">
        <v>0</v>
      </c>
      <c r="H13" s="4"/>
      <c r="I13" s="4" t="s">
        <v>25</v>
      </c>
      <c r="J13" s="4">
        <v>140</v>
      </c>
      <c r="K13" s="4">
        <v>1.5</v>
      </c>
      <c r="L13" s="4">
        <v>0</v>
      </c>
      <c r="M13" s="4">
        <v>210</v>
      </c>
    </row>
    <row r="14" spans="1:13" x14ac:dyDescent="0.2">
      <c r="A14" s="4" t="s">
        <v>3253</v>
      </c>
      <c r="B14" s="4" t="s">
        <v>3254</v>
      </c>
      <c r="C14" s="4" t="s">
        <v>94</v>
      </c>
      <c r="D14" s="4" t="s">
        <v>45</v>
      </c>
      <c r="E14" s="4" t="s">
        <v>88</v>
      </c>
      <c r="F14" s="5"/>
      <c r="G14" s="4">
        <v>0</v>
      </c>
      <c r="H14" s="4"/>
      <c r="I14" s="4" t="s">
        <v>25</v>
      </c>
      <c r="J14" s="4">
        <v>140</v>
      </c>
      <c r="K14" s="4">
        <v>1.5</v>
      </c>
      <c r="L14" s="4">
        <v>0</v>
      </c>
      <c r="M14" s="4">
        <v>210</v>
      </c>
    </row>
    <row r="15" spans="1:13" x14ac:dyDescent="0.2">
      <c r="A15" s="4" t="s">
        <v>3255</v>
      </c>
      <c r="B15" s="4" t="s">
        <v>3256</v>
      </c>
      <c r="C15" s="4" t="s">
        <v>592</v>
      </c>
      <c r="D15" s="4" t="s">
        <v>45</v>
      </c>
      <c r="E15" s="4" t="s">
        <v>88</v>
      </c>
      <c r="F15" s="5"/>
      <c r="G15" s="4">
        <v>0</v>
      </c>
      <c r="H15" s="4"/>
      <c r="I15" s="4" t="s">
        <v>25</v>
      </c>
      <c r="J15" s="4">
        <v>140</v>
      </c>
      <c r="K15" s="4">
        <v>1.5</v>
      </c>
      <c r="L15" s="4">
        <v>0</v>
      </c>
      <c r="M15" s="4">
        <v>210</v>
      </c>
    </row>
    <row r="16" spans="1:13" x14ac:dyDescent="0.2">
      <c r="A16" s="4" t="s">
        <v>211</v>
      </c>
      <c r="B16" s="4" t="s">
        <v>212</v>
      </c>
      <c r="C16" s="4" t="s">
        <v>19</v>
      </c>
      <c r="D16" s="4" t="s">
        <v>45</v>
      </c>
      <c r="E16" s="4" t="s">
        <v>88</v>
      </c>
      <c r="F16" s="5"/>
      <c r="G16" s="4">
        <v>0</v>
      </c>
      <c r="H16" s="4"/>
      <c r="I16" s="4" t="s">
        <v>25</v>
      </c>
      <c r="J16" s="4">
        <v>140</v>
      </c>
      <c r="K16" s="4">
        <v>1.5</v>
      </c>
      <c r="L16" s="4">
        <v>210</v>
      </c>
      <c r="M16" s="4">
        <v>0</v>
      </c>
    </row>
    <row r="17" spans="1:13" x14ac:dyDescent="0.2">
      <c r="A17" s="4" t="s">
        <v>547</v>
      </c>
      <c r="B17" s="4" t="s">
        <v>548</v>
      </c>
      <c r="C17" s="4" t="s">
        <v>19</v>
      </c>
      <c r="D17" s="4" t="s">
        <v>45</v>
      </c>
      <c r="E17" s="4" t="s">
        <v>88</v>
      </c>
      <c r="F17" s="5"/>
      <c r="G17" s="4">
        <v>0</v>
      </c>
      <c r="H17" s="4"/>
      <c r="I17" s="4" t="s">
        <v>25</v>
      </c>
      <c r="J17" s="4">
        <v>140</v>
      </c>
      <c r="K17" s="4">
        <v>1.5</v>
      </c>
      <c r="L17" s="4">
        <v>600</v>
      </c>
      <c r="M17" s="4">
        <v>0</v>
      </c>
    </row>
    <row r="18" spans="1:13" x14ac:dyDescent="0.2">
      <c r="A18" s="4" t="s">
        <v>3257</v>
      </c>
      <c r="B18" s="4" t="s">
        <v>3258</v>
      </c>
      <c r="C18" s="4" t="s">
        <v>19</v>
      </c>
      <c r="D18" s="4" t="s">
        <v>45</v>
      </c>
      <c r="E18" s="4" t="s">
        <v>88</v>
      </c>
      <c r="F18" s="5"/>
      <c r="G18" s="4">
        <v>0</v>
      </c>
      <c r="H18" s="4"/>
      <c r="I18" s="4" t="s">
        <v>25</v>
      </c>
      <c r="J18" s="4">
        <v>140</v>
      </c>
      <c r="K18" s="4">
        <v>1.5</v>
      </c>
      <c r="L18" s="4">
        <v>0</v>
      </c>
      <c r="M18" s="4">
        <v>210</v>
      </c>
    </row>
    <row r="19" spans="1:13" x14ac:dyDescent="0.2">
      <c r="A19" s="4" t="s">
        <v>917</v>
      </c>
      <c r="B19" s="4" t="s">
        <v>918</v>
      </c>
      <c r="C19" s="4" t="s">
        <v>592</v>
      </c>
      <c r="D19" s="4" t="s">
        <v>45</v>
      </c>
      <c r="E19" s="4" t="s">
        <v>88</v>
      </c>
      <c r="F19" s="5"/>
      <c r="G19" s="4">
        <v>0</v>
      </c>
      <c r="H19" s="4"/>
      <c r="I19" s="4" t="s">
        <v>25</v>
      </c>
      <c r="J19" s="4">
        <v>140</v>
      </c>
      <c r="K19" s="4">
        <v>1.5</v>
      </c>
      <c r="L19" s="4">
        <v>0</v>
      </c>
      <c r="M19" s="4">
        <v>210</v>
      </c>
    </row>
    <row r="20" spans="1:13" x14ac:dyDescent="0.2">
      <c r="A20" s="4" t="s">
        <v>895</v>
      </c>
      <c r="B20" s="4" t="s">
        <v>896</v>
      </c>
      <c r="C20" s="4" t="s">
        <v>1366</v>
      </c>
      <c r="D20" s="4" t="s">
        <v>45</v>
      </c>
      <c r="E20" s="4" t="s">
        <v>88</v>
      </c>
      <c r="F20" s="5"/>
      <c r="G20" s="4">
        <v>0</v>
      </c>
      <c r="H20" s="4"/>
      <c r="I20" s="4" t="s">
        <v>25</v>
      </c>
      <c r="J20" s="4">
        <v>140</v>
      </c>
      <c r="K20" s="4">
        <v>1.5</v>
      </c>
      <c r="L20" s="4">
        <v>0</v>
      </c>
      <c r="M20" s="4">
        <v>210</v>
      </c>
    </row>
    <row r="21" spans="1:13" x14ac:dyDescent="0.2">
      <c r="A21" s="4" t="s">
        <v>3259</v>
      </c>
      <c r="B21" s="4" t="s">
        <v>3260</v>
      </c>
      <c r="C21" s="4" t="s">
        <v>91</v>
      </c>
      <c r="D21" s="4" t="s">
        <v>45</v>
      </c>
      <c r="E21" s="4" t="s">
        <v>88</v>
      </c>
      <c r="F21" s="5"/>
      <c r="G21" s="4">
        <v>0</v>
      </c>
      <c r="H21" s="4"/>
      <c r="I21" s="4" t="s">
        <v>25</v>
      </c>
      <c r="J21" s="4">
        <v>140</v>
      </c>
      <c r="K21" s="4">
        <v>1.5</v>
      </c>
      <c r="L21" s="4">
        <v>0</v>
      </c>
      <c r="M21" s="4">
        <v>210</v>
      </c>
    </row>
    <row r="22" spans="1:13" x14ac:dyDescent="0.2">
      <c r="A22" s="4" t="s">
        <v>1111</v>
      </c>
      <c r="B22" s="4" t="s">
        <v>1112</v>
      </c>
      <c r="C22" s="4" t="s">
        <v>7</v>
      </c>
      <c r="D22" s="4" t="s">
        <v>45</v>
      </c>
      <c r="E22" s="4" t="s">
        <v>88</v>
      </c>
      <c r="F22" s="5"/>
      <c r="G22" s="4">
        <v>0</v>
      </c>
      <c r="H22" s="4"/>
      <c r="I22" s="4" t="s">
        <v>25</v>
      </c>
      <c r="J22" s="4">
        <v>140</v>
      </c>
      <c r="K22" s="4">
        <v>1.5</v>
      </c>
      <c r="L22" s="4">
        <v>210</v>
      </c>
      <c r="M22" s="4">
        <v>0</v>
      </c>
    </row>
    <row r="23" spans="1:13" x14ac:dyDescent="0.2">
      <c r="A23" s="4" t="s">
        <v>1319</v>
      </c>
      <c r="B23" s="4" t="s">
        <v>1320</v>
      </c>
      <c r="C23" s="4" t="s">
        <v>7</v>
      </c>
      <c r="D23" s="4" t="s">
        <v>45</v>
      </c>
      <c r="E23" s="4" t="s">
        <v>88</v>
      </c>
      <c r="F23" s="5"/>
      <c r="G23" s="4">
        <v>0</v>
      </c>
      <c r="H23" s="4"/>
      <c r="I23" s="4" t="s">
        <v>25</v>
      </c>
      <c r="J23" s="4">
        <v>140</v>
      </c>
      <c r="K23" s="4">
        <v>1.5</v>
      </c>
      <c r="L23" s="4">
        <v>600</v>
      </c>
      <c r="M23" s="4">
        <v>0</v>
      </c>
    </row>
    <row r="24" spans="1:13" x14ac:dyDescent="0.2">
      <c r="A24" s="4" t="s">
        <v>3261</v>
      </c>
      <c r="B24" s="4" t="s">
        <v>3262</v>
      </c>
      <c r="C24" s="4" t="s">
        <v>4124</v>
      </c>
      <c r="D24" s="4" t="s">
        <v>63</v>
      </c>
      <c r="E24" s="4" t="s">
        <v>88</v>
      </c>
      <c r="F24" s="5"/>
      <c r="G24" s="4">
        <v>0</v>
      </c>
      <c r="H24" s="4"/>
      <c r="I24" s="4" t="s">
        <v>25</v>
      </c>
      <c r="J24" s="4">
        <v>140</v>
      </c>
      <c r="K24" s="4">
        <v>1.5</v>
      </c>
      <c r="L24" s="4">
        <v>0</v>
      </c>
      <c r="M24" s="4">
        <v>210</v>
      </c>
    </row>
    <row r="25" spans="1:13" x14ac:dyDescent="0.2">
      <c r="A25" s="4" t="s">
        <v>435</v>
      </c>
      <c r="B25" s="4" t="s">
        <v>436</v>
      </c>
      <c r="C25" s="4" t="s">
        <v>7</v>
      </c>
      <c r="D25" s="4" t="s">
        <v>45</v>
      </c>
      <c r="E25" s="4" t="s">
        <v>88</v>
      </c>
      <c r="F25" s="5"/>
      <c r="G25" s="4">
        <v>0</v>
      </c>
      <c r="H25" s="4"/>
      <c r="I25" s="4" t="s">
        <v>25</v>
      </c>
      <c r="J25" s="4">
        <v>140</v>
      </c>
      <c r="K25" s="4">
        <v>1.5</v>
      </c>
      <c r="L25" s="4">
        <v>210</v>
      </c>
      <c r="M25" s="4">
        <v>0</v>
      </c>
    </row>
    <row r="26" spans="1:13" x14ac:dyDescent="0.2">
      <c r="A26" s="4" t="s">
        <v>337</v>
      </c>
      <c r="B26" s="4" t="s">
        <v>338</v>
      </c>
      <c r="C26" s="4" t="s">
        <v>7</v>
      </c>
      <c r="D26" s="4" t="s">
        <v>45</v>
      </c>
      <c r="E26" s="4" t="s">
        <v>88</v>
      </c>
      <c r="F26" s="5"/>
      <c r="G26" s="4">
        <v>0</v>
      </c>
      <c r="H26" s="4"/>
      <c r="I26" s="4" t="s">
        <v>25</v>
      </c>
      <c r="J26" s="4">
        <v>140</v>
      </c>
      <c r="K26" s="4">
        <v>1.5</v>
      </c>
      <c r="L26" s="4">
        <v>345</v>
      </c>
      <c r="M26" s="4">
        <v>0</v>
      </c>
    </row>
    <row r="27" spans="1:13" x14ac:dyDescent="0.2">
      <c r="A27" s="4" t="s">
        <v>1115</v>
      </c>
      <c r="B27" s="4" t="s">
        <v>1116</v>
      </c>
      <c r="C27" s="4" t="s">
        <v>592</v>
      </c>
      <c r="D27" s="4" t="s">
        <v>45</v>
      </c>
      <c r="E27" s="4" t="s">
        <v>88</v>
      </c>
      <c r="F27" s="5"/>
      <c r="G27" s="4">
        <v>0</v>
      </c>
      <c r="H27" s="4"/>
      <c r="I27" s="4" t="s">
        <v>25</v>
      </c>
      <c r="J27" s="4">
        <v>140</v>
      </c>
      <c r="K27" s="4">
        <v>1.5</v>
      </c>
      <c r="L27" s="4">
        <v>210</v>
      </c>
      <c r="M27" s="4">
        <v>0</v>
      </c>
    </row>
    <row r="28" spans="1:13" x14ac:dyDescent="0.2">
      <c r="A28" s="4" t="s">
        <v>1125</v>
      </c>
      <c r="B28" s="4" t="s">
        <v>1126</v>
      </c>
      <c r="C28" s="4" t="s">
        <v>91</v>
      </c>
      <c r="D28" s="4" t="s">
        <v>45</v>
      </c>
      <c r="E28" s="4" t="s">
        <v>88</v>
      </c>
      <c r="F28" s="5"/>
      <c r="G28" s="4">
        <v>0</v>
      </c>
      <c r="H28" s="4"/>
      <c r="I28" s="4" t="s">
        <v>25</v>
      </c>
      <c r="J28" s="4">
        <v>140</v>
      </c>
      <c r="K28" s="4">
        <v>1.5</v>
      </c>
      <c r="L28" s="4">
        <v>210</v>
      </c>
      <c r="M28" s="4">
        <v>0</v>
      </c>
    </row>
    <row r="29" spans="1:13" x14ac:dyDescent="0.2">
      <c r="A29" s="4" t="s">
        <v>3263</v>
      </c>
      <c r="B29" s="4" t="s">
        <v>3264</v>
      </c>
      <c r="C29" s="4" t="s">
        <v>4125</v>
      </c>
      <c r="D29" s="4" t="s">
        <v>45</v>
      </c>
      <c r="E29" s="4" t="s">
        <v>88</v>
      </c>
      <c r="F29" s="5"/>
      <c r="G29" s="4">
        <v>0</v>
      </c>
      <c r="H29" s="4"/>
      <c r="I29" s="4" t="s">
        <v>25</v>
      </c>
      <c r="J29" s="4">
        <v>140</v>
      </c>
      <c r="K29" s="4">
        <v>1.5</v>
      </c>
      <c r="L29" s="4">
        <v>0</v>
      </c>
      <c r="M29" s="4">
        <v>210</v>
      </c>
    </row>
    <row r="30" spans="1:13" x14ac:dyDescent="0.2">
      <c r="A30" s="4" t="s">
        <v>563</v>
      </c>
      <c r="B30" s="4" t="s">
        <v>564</v>
      </c>
      <c r="C30" s="4" t="s">
        <v>19</v>
      </c>
      <c r="D30" s="4" t="s">
        <v>45</v>
      </c>
      <c r="E30" s="4" t="s">
        <v>88</v>
      </c>
      <c r="F30" s="5"/>
      <c r="G30" s="4">
        <v>0</v>
      </c>
      <c r="H30" s="4"/>
      <c r="I30" s="4" t="s">
        <v>25</v>
      </c>
      <c r="J30" s="4">
        <v>140</v>
      </c>
      <c r="K30" s="4">
        <v>1.5</v>
      </c>
      <c r="L30" s="4">
        <v>810</v>
      </c>
      <c r="M30" s="4">
        <v>0</v>
      </c>
    </row>
    <row r="31" spans="1:13" x14ac:dyDescent="0.2">
      <c r="A31" s="4" t="s">
        <v>1207</v>
      </c>
      <c r="B31" s="4" t="s">
        <v>1208</v>
      </c>
      <c r="C31" s="4" t="s">
        <v>592</v>
      </c>
      <c r="D31" s="4" t="s">
        <v>45</v>
      </c>
      <c r="E31" s="4" t="s">
        <v>88</v>
      </c>
      <c r="F31" s="5"/>
      <c r="G31" s="4">
        <v>0</v>
      </c>
      <c r="H31" s="4"/>
      <c r="I31" s="4" t="s">
        <v>4088</v>
      </c>
      <c r="J31" s="4">
        <v>140</v>
      </c>
      <c r="K31" s="4">
        <v>1.5</v>
      </c>
      <c r="L31" s="4">
        <v>600</v>
      </c>
      <c r="M31" s="4">
        <v>0</v>
      </c>
    </row>
    <row r="32" spans="1:13" x14ac:dyDescent="0.2">
      <c r="A32" s="4" t="s">
        <v>121</v>
      </c>
      <c r="B32" s="4" t="s">
        <v>122</v>
      </c>
      <c r="C32" s="4" t="s">
        <v>1366</v>
      </c>
      <c r="D32" s="4" t="s">
        <v>45</v>
      </c>
      <c r="E32" s="4" t="s">
        <v>88</v>
      </c>
      <c r="F32" s="5"/>
      <c r="G32" s="4">
        <v>0</v>
      </c>
      <c r="H32" s="4"/>
      <c r="I32" s="4" t="s">
        <v>31</v>
      </c>
      <c r="J32" s="4">
        <v>230</v>
      </c>
      <c r="K32" s="4">
        <v>1.5</v>
      </c>
      <c r="L32" s="4">
        <v>600</v>
      </c>
      <c r="M32" s="4">
        <v>0</v>
      </c>
    </row>
    <row r="33" spans="1:13" x14ac:dyDescent="0.2">
      <c r="A33" s="4" t="s">
        <v>3265</v>
      </c>
      <c r="B33" s="4" t="s">
        <v>3266</v>
      </c>
      <c r="C33" s="4" t="s">
        <v>592</v>
      </c>
      <c r="D33" s="4" t="s">
        <v>45</v>
      </c>
      <c r="E33" s="4" t="s">
        <v>88</v>
      </c>
      <c r="F33" s="5"/>
      <c r="G33" s="4">
        <v>0</v>
      </c>
      <c r="H33" s="4"/>
      <c r="I33" s="4" t="s">
        <v>31</v>
      </c>
      <c r="J33" s="4">
        <v>230</v>
      </c>
      <c r="K33" s="4">
        <v>1.5</v>
      </c>
      <c r="L33" s="4">
        <v>0</v>
      </c>
      <c r="M33" s="4">
        <v>345</v>
      </c>
    </row>
    <row r="34" spans="1:13" x14ac:dyDescent="0.2">
      <c r="A34" s="4" t="s">
        <v>1139</v>
      </c>
      <c r="B34" s="4" t="s">
        <v>1140</v>
      </c>
      <c r="C34" s="4" t="s">
        <v>66</v>
      </c>
      <c r="D34" s="4" t="s">
        <v>45</v>
      </c>
      <c r="E34" s="4" t="s">
        <v>88</v>
      </c>
      <c r="F34" s="5"/>
      <c r="G34" s="4">
        <v>0</v>
      </c>
      <c r="H34" s="4"/>
      <c r="I34" s="4" t="s">
        <v>31</v>
      </c>
      <c r="J34" s="4">
        <v>230</v>
      </c>
      <c r="K34" s="4">
        <v>1.5</v>
      </c>
      <c r="L34" s="4">
        <v>210</v>
      </c>
      <c r="M34" s="4">
        <v>135</v>
      </c>
    </row>
    <row r="35" spans="1:13" x14ac:dyDescent="0.2">
      <c r="A35" s="4" t="s">
        <v>667</v>
      </c>
      <c r="B35" s="4" t="s">
        <v>668</v>
      </c>
      <c r="C35" s="4" t="s">
        <v>54</v>
      </c>
      <c r="D35" s="4" t="s">
        <v>45</v>
      </c>
      <c r="E35" s="4" t="s">
        <v>88</v>
      </c>
      <c r="F35" s="5"/>
      <c r="G35" s="4">
        <v>0</v>
      </c>
      <c r="H35" s="4"/>
      <c r="I35" s="4" t="s">
        <v>31</v>
      </c>
      <c r="J35" s="4">
        <v>230</v>
      </c>
      <c r="K35" s="4">
        <v>1.5</v>
      </c>
      <c r="L35" s="4">
        <v>0</v>
      </c>
      <c r="M35" s="4">
        <v>345</v>
      </c>
    </row>
    <row r="36" spans="1:13" x14ac:dyDescent="0.2">
      <c r="A36" s="4" t="s">
        <v>3267</v>
      </c>
      <c r="B36" s="4" t="s">
        <v>3268</v>
      </c>
      <c r="C36" s="4" t="s">
        <v>94</v>
      </c>
      <c r="D36" s="4" t="s">
        <v>45</v>
      </c>
      <c r="E36" s="4" t="s">
        <v>88</v>
      </c>
      <c r="F36" s="5"/>
      <c r="G36" s="4">
        <v>0</v>
      </c>
      <c r="H36" s="4"/>
      <c r="I36" s="4" t="s">
        <v>31</v>
      </c>
      <c r="J36" s="4">
        <v>230</v>
      </c>
      <c r="K36" s="4">
        <v>1.5</v>
      </c>
      <c r="L36" s="4">
        <v>0</v>
      </c>
      <c r="M36" s="4">
        <v>345</v>
      </c>
    </row>
    <row r="37" spans="1:13" x14ac:dyDescent="0.2">
      <c r="A37" s="4" t="s">
        <v>3904</v>
      </c>
      <c r="B37" s="4" t="s">
        <v>3905</v>
      </c>
      <c r="C37" s="4" t="s">
        <v>94</v>
      </c>
      <c r="D37" s="4" t="s">
        <v>45</v>
      </c>
      <c r="E37" s="4" t="s">
        <v>88</v>
      </c>
      <c r="F37" s="5"/>
      <c r="G37" s="4">
        <v>0</v>
      </c>
      <c r="H37" s="4"/>
      <c r="I37" s="4" t="s">
        <v>31</v>
      </c>
      <c r="J37" s="4">
        <v>230</v>
      </c>
      <c r="K37" s="4">
        <v>1.5</v>
      </c>
      <c r="L37" s="4">
        <v>210</v>
      </c>
      <c r="M37" s="4">
        <v>135</v>
      </c>
    </row>
    <row r="38" spans="1:13" x14ac:dyDescent="0.2">
      <c r="A38" s="4" t="s">
        <v>3906</v>
      </c>
      <c r="B38" s="4" t="s">
        <v>3907</v>
      </c>
      <c r="C38" s="4" t="s">
        <v>19</v>
      </c>
      <c r="D38" s="4" t="s">
        <v>45</v>
      </c>
      <c r="E38" s="4" t="s">
        <v>88</v>
      </c>
      <c r="F38" s="5"/>
      <c r="G38" s="4">
        <v>0</v>
      </c>
      <c r="H38" s="4"/>
      <c r="I38" s="4" t="s">
        <v>31</v>
      </c>
      <c r="J38" s="4">
        <v>230</v>
      </c>
      <c r="K38" s="4">
        <v>1.5</v>
      </c>
      <c r="L38" s="4">
        <v>0</v>
      </c>
      <c r="M38" s="4">
        <v>345</v>
      </c>
    </row>
    <row r="39" spans="1:13" x14ac:dyDescent="0.2">
      <c r="A39" s="4" t="s">
        <v>577</v>
      </c>
      <c r="B39" s="4" t="s">
        <v>578</v>
      </c>
      <c r="C39" s="4" t="s">
        <v>1366</v>
      </c>
      <c r="D39" s="4" t="s">
        <v>45</v>
      </c>
      <c r="E39" s="4" t="s">
        <v>88</v>
      </c>
      <c r="F39" s="5"/>
      <c r="G39" s="4">
        <v>0</v>
      </c>
      <c r="H39" s="4"/>
      <c r="I39" s="4" t="s">
        <v>31</v>
      </c>
      <c r="J39" s="4">
        <v>230</v>
      </c>
      <c r="K39" s="4">
        <v>1.5</v>
      </c>
      <c r="L39" s="4">
        <v>810</v>
      </c>
      <c r="M39" s="4">
        <v>0</v>
      </c>
    </row>
    <row r="40" spans="1:13" x14ac:dyDescent="0.2">
      <c r="A40" s="4" t="s">
        <v>455</v>
      </c>
      <c r="B40" s="4" t="s">
        <v>456</v>
      </c>
      <c r="C40" s="4" t="s">
        <v>19</v>
      </c>
      <c r="D40" s="4" t="s">
        <v>45</v>
      </c>
      <c r="E40" s="4" t="s">
        <v>88</v>
      </c>
      <c r="F40" s="5"/>
      <c r="G40" s="4">
        <v>0</v>
      </c>
      <c r="H40" s="4"/>
      <c r="I40" s="4" t="s">
        <v>31</v>
      </c>
      <c r="J40" s="4">
        <v>230</v>
      </c>
      <c r="K40" s="4">
        <v>1.5</v>
      </c>
      <c r="L40" s="4">
        <v>210</v>
      </c>
      <c r="M40" s="4">
        <v>135</v>
      </c>
    </row>
    <row r="41" spans="1:13" x14ac:dyDescent="0.2">
      <c r="A41" s="4" t="s">
        <v>145</v>
      </c>
      <c r="B41" s="4" t="s">
        <v>146</v>
      </c>
      <c r="C41" s="4" t="s">
        <v>54</v>
      </c>
      <c r="D41" s="4" t="s">
        <v>45</v>
      </c>
      <c r="E41" s="4" t="s">
        <v>88</v>
      </c>
      <c r="F41" s="5"/>
      <c r="G41" s="4">
        <v>0</v>
      </c>
      <c r="H41" s="4"/>
      <c r="I41" s="4" t="s">
        <v>31</v>
      </c>
      <c r="J41" s="4">
        <v>230</v>
      </c>
      <c r="K41" s="4">
        <v>1.5</v>
      </c>
      <c r="L41" s="4">
        <v>345</v>
      </c>
      <c r="M41" s="4">
        <v>0</v>
      </c>
    </row>
    <row r="42" spans="1:13" x14ac:dyDescent="0.2">
      <c r="A42" s="4" t="s">
        <v>3269</v>
      </c>
      <c r="B42" s="4" t="s">
        <v>3270</v>
      </c>
      <c r="C42" s="4" t="s">
        <v>592</v>
      </c>
      <c r="D42" s="4" t="s">
        <v>45</v>
      </c>
      <c r="E42" s="4" t="s">
        <v>88</v>
      </c>
      <c r="F42" s="5"/>
      <c r="G42" s="4">
        <v>0</v>
      </c>
      <c r="H42" s="4"/>
      <c r="I42" s="4" t="s">
        <v>31</v>
      </c>
      <c r="J42" s="4">
        <v>230</v>
      </c>
      <c r="K42" s="4">
        <v>1.5</v>
      </c>
      <c r="L42" s="4">
        <v>0</v>
      </c>
      <c r="M42" s="4">
        <v>345</v>
      </c>
    </row>
    <row r="43" spans="1:13" x14ac:dyDescent="0.2">
      <c r="A43" s="4" t="s">
        <v>1063</v>
      </c>
      <c r="B43" s="4" t="s">
        <v>1064</v>
      </c>
      <c r="C43" s="4" t="s">
        <v>1366</v>
      </c>
      <c r="D43" s="4" t="s">
        <v>45</v>
      </c>
      <c r="E43" s="4" t="s">
        <v>88</v>
      </c>
      <c r="F43" s="5"/>
      <c r="G43" s="4">
        <v>0</v>
      </c>
      <c r="H43" s="4"/>
      <c r="I43" s="4" t="s">
        <v>31</v>
      </c>
      <c r="J43" s="4">
        <v>230</v>
      </c>
      <c r="K43" s="4">
        <v>1.5</v>
      </c>
      <c r="L43" s="4">
        <v>210</v>
      </c>
      <c r="M43" s="4">
        <v>135</v>
      </c>
    </row>
    <row r="44" spans="1:13" x14ac:dyDescent="0.2">
      <c r="A44" s="4" t="s">
        <v>1071</v>
      </c>
      <c r="B44" s="4" t="s">
        <v>1072</v>
      </c>
      <c r="C44" s="4" t="s">
        <v>94</v>
      </c>
      <c r="D44" s="4" t="s">
        <v>45</v>
      </c>
      <c r="E44" s="4" t="s">
        <v>88</v>
      </c>
      <c r="F44" s="5"/>
      <c r="G44" s="4">
        <v>0</v>
      </c>
      <c r="H44" s="4"/>
      <c r="I44" s="4" t="s">
        <v>31</v>
      </c>
      <c r="J44" s="4">
        <v>230</v>
      </c>
      <c r="K44" s="4">
        <v>1.5</v>
      </c>
      <c r="L44" s="4">
        <v>210</v>
      </c>
      <c r="M44" s="4">
        <v>135</v>
      </c>
    </row>
    <row r="45" spans="1:13" x14ac:dyDescent="0.2">
      <c r="A45" s="4" t="s">
        <v>1351</v>
      </c>
      <c r="B45" s="4" t="s">
        <v>1352</v>
      </c>
      <c r="C45" s="4" t="s">
        <v>66</v>
      </c>
      <c r="D45" s="4" t="s">
        <v>45</v>
      </c>
      <c r="E45" s="4" t="s">
        <v>88</v>
      </c>
      <c r="F45" s="5"/>
      <c r="G45" s="4">
        <v>0</v>
      </c>
      <c r="H45" s="4"/>
      <c r="I45" s="4" t="s">
        <v>31</v>
      </c>
      <c r="J45" s="4">
        <v>230</v>
      </c>
      <c r="K45" s="4">
        <v>1.5</v>
      </c>
      <c r="L45" s="4">
        <v>810</v>
      </c>
      <c r="M45" s="4">
        <v>0</v>
      </c>
    </row>
    <row r="46" spans="1:13" x14ac:dyDescent="0.2">
      <c r="A46" s="4" t="s">
        <v>761</v>
      </c>
      <c r="B46" s="4" t="s">
        <v>762</v>
      </c>
      <c r="C46" s="4" t="s">
        <v>94</v>
      </c>
      <c r="D46" s="4" t="s">
        <v>45</v>
      </c>
      <c r="E46" s="4" t="s">
        <v>88</v>
      </c>
      <c r="F46" s="5"/>
      <c r="G46" s="4">
        <v>0</v>
      </c>
      <c r="H46" s="4"/>
      <c r="I46" s="4" t="s">
        <v>31</v>
      </c>
      <c r="J46" s="4">
        <v>230</v>
      </c>
      <c r="K46" s="4">
        <v>1.5</v>
      </c>
      <c r="L46" s="4">
        <v>0</v>
      </c>
      <c r="M46" s="4">
        <v>345</v>
      </c>
    </row>
    <row r="47" spans="1:13" x14ac:dyDescent="0.2">
      <c r="A47" s="4" t="s">
        <v>193</v>
      </c>
      <c r="B47" s="4" t="s">
        <v>194</v>
      </c>
      <c r="C47" s="4" t="s">
        <v>54</v>
      </c>
      <c r="D47" s="4" t="s">
        <v>45</v>
      </c>
      <c r="E47" s="4" t="s">
        <v>88</v>
      </c>
      <c r="F47" s="5">
        <v>45910</v>
      </c>
      <c r="G47" s="4">
        <v>0</v>
      </c>
      <c r="H47" s="4"/>
      <c r="I47" s="4" t="s">
        <v>31</v>
      </c>
      <c r="J47" s="4">
        <v>230</v>
      </c>
      <c r="K47" s="4">
        <v>1.5</v>
      </c>
      <c r="L47" s="4">
        <v>345</v>
      </c>
      <c r="M47" s="4">
        <v>0</v>
      </c>
    </row>
    <row r="48" spans="1:13" x14ac:dyDescent="0.2">
      <c r="A48" s="4" t="s">
        <v>803</v>
      </c>
      <c r="B48" s="4" t="s">
        <v>804</v>
      </c>
      <c r="C48" s="4" t="s">
        <v>7</v>
      </c>
      <c r="D48" s="4" t="s">
        <v>45</v>
      </c>
      <c r="E48" s="4" t="s">
        <v>88</v>
      </c>
      <c r="F48" s="5"/>
      <c r="G48" s="4">
        <v>0</v>
      </c>
      <c r="H48" s="4"/>
      <c r="I48" s="4" t="s">
        <v>31</v>
      </c>
      <c r="J48" s="4">
        <v>230</v>
      </c>
      <c r="K48" s="4">
        <v>1.5</v>
      </c>
      <c r="L48" s="4">
        <v>0</v>
      </c>
      <c r="M48" s="4">
        <v>345</v>
      </c>
    </row>
    <row r="49" spans="1:13" x14ac:dyDescent="0.2">
      <c r="A49" s="4" t="s">
        <v>807</v>
      </c>
      <c r="B49" s="4" t="s">
        <v>808</v>
      </c>
      <c r="C49" s="4" t="s">
        <v>1366</v>
      </c>
      <c r="D49" s="4" t="s">
        <v>45</v>
      </c>
      <c r="E49" s="4" t="s">
        <v>88</v>
      </c>
      <c r="F49" s="5"/>
      <c r="G49" s="4">
        <v>0</v>
      </c>
      <c r="H49" s="4"/>
      <c r="I49" s="4" t="s">
        <v>31</v>
      </c>
      <c r="J49" s="4">
        <v>230</v>
      </c>
      <c r="K49" s="4">
        <v>1.5</v>
      </c>
      <c r="L49" s="4">
        <v>0</v>
      </c>
      <c r="M49" s="4">
        <v>345</v>
      </c>
    </row>
    <row r="50" spans="1:13" x14ac:dyDescent="0.2">
      <c r="A50" s="4" t="s">
        <v>255</v>
      </c>
      <c r="B50" s="4" t="s">
        <v>256</v>
      </c>
      <c r="C50" s="4" t="s">
        <v>7</v>
      </c>
      <c r="D50" s="4" t="s">
        <v>45</v>
      </c>
      <c r="E50" s="4" t="s">
        <v>88</v>
      </c>
      <c r="F50" s="5"/>
      <c r="G50" s="4">
        <v>0</v>
      </c>
      <c r="H50" s="4"/>
      <c r="I50" s="4" t="s">
        <v>31</v>
      </c>
      <c r="J50" s="4">
        <v>230</v>
      </c>
      <c r="K50" s="4">
        <v>1.5</v>
      </c>
      <c r="L50" s="4">
        <v>210</v>
      </c>
      <c r="M50" s="4">
        <v>135</v>
      </c>
    </row>
    <row r="51" spans="1:13" x14ac:dyDescent="0.2">
      <c r="A51" s="4" t="s">
        <v>385</v>
      </c>
      <c r="B51" s="4" t="s">
        <v>386</v>
      </c>
      <c r="C51" s="4" t="s">
        <v>7</v>
      </c>
      <c r="D51" s="4" t="s">
        <v>45</v>
      </c>
      <c r="E51" s="4" t="s">
        <v>88</v>
      </c>
      <c r="F51" s="5"/>
      <c r="G51" s="4">
        <v>0</v>
      </c>
      <c r="H51" s="4"/>
      <c r="I51" s="4" t="s">
        <v>31</v>
      </c>
      <c r="J51" s="4">
        <v>230</v>
      </c>
      <c r="K51" s="4">
        <v>1.5</v>
      </c>
      <c r="L51" s="4">
        <v>345</v>
      </c>
      <c r="M51" s="4">
        <v>0</v>
      </c>
    </row>
    <row r="52" spans="1:13" x14ac:dyDescent="0.2">
      <c r="A52" s="4" t="s">
        <v>505</v>
      </c>
      <c r="B52" s="4" t="s">
        <v>506</v>
      </c>
      <c r="C52" s="4" t="s">
        <v>54</v>
      </c>
      <c r="D52" s="4" t="s">
        <v>45</v>
      </c>
      <c r="E52" s="4" t="s">
        <v>88</v>
      </c>
      <c r="F52" s="5"/>
      <c r="G52" s="4">
        <v>0</v>
      </c>
      <c r="H52" s="4"/>
      <c r="I52" s="4" t="s">
        <v>31</v>
      </c>
      <c r="J52" s="4">
        <v>230</v>
      </c>
      <c r="K52" s="4">
        <v>1.5</v>
      </c>
      <c r="L52" s="4">
        <v>810</v>
      </c>
      <c r="M52" s="4">
        <v>0</v>
      </c>
    </row>
    <row r="53" spans="1:13" x14ac:dyDescent="0.2">
      <c r="A53" s="4" t="s">
        <v>1097</v>
      </c>
      <c r="B53" s="4" t="s">
        <v>1098</v>
      </c>
      <c r="C53" s="4" t="s">
        <v>94</v>
      </c>
      <c r="D53" s="4" t="s">
        <v>45</v>
      </c>
      <c r="E53" s="4" t="s">
        <v>88</v>
      </c>
      <c r="F53" s="5"/>
      <c r="G53" s="4">
        <v>0</v>
      </c>
      <c r="H53" s="4"/>
      <c r="I53" s="4" t="s">
        <v>31</v>
      </c>
      <c r="J53" s="4">
        <v>230</v>
      </c>
      <c r="K53" s="4">
        <v>1.5</v>
      </c>
      <c r="L53" s="4">
        <v>210</v>
      </c>
      <c r="M53" s="4">
        <v>135</v>
      </c>
    </row>
    <row r="54" spans="1:13" x14ac:dyDescent="0.2">
      <c r="A54" s="4" t="s">
        <v>279</v>
      </c>
      <c r="B54" s="4" t="s">
        <v>280</v>
      </c>
      <c r="C54" s="4" t="s">
        <v>19</v>
      </c>
      <c r="D54" s="4" t="s">
        <v>45</v>
      </c>
      <c r="E54" s="4" t="s">
        <v>88</v>
      </c>
      <c r="F54" s="5"/>
      <c r="G54" s="4">
        <v>0</v>
      </c>
      <c r="H54" s="4"/>
      <c r="I54" s="4" t="s">
        <v>31</v>
      </c>
      <c r="J54" s="4">
        <v>230</v>
      </c>
      <c r="K54" s="4">
        <v>1.5</v>
      </c>
      <c r="L54" s="4">
        <v>210</v>
      </c>
      <c r="M54" s="4">
        <v>135</v>
      </c>
    </row>
    <row r="55" spans="1:13" x14ac:dyDescent="0.2">
      <c r="A55" s="4" t="s">
        <v>997</v>
      </c>
      <c r="B55" s="4" t="s">
        <v>998</v>
      </c>
      <c r="C55" s="4" t="s">
        <v>1366</v>
      </c>
      <c r="D55" s="4" t="s">
        <v>45</v>
      </c>
      <c r="E55" s="4" t="s">
        <v>88</v>
      </c>
      <c r="F55" s="5"/>
      <c r="G55" s="4">
        <v>0</v>
      </c>
      <c r="H55" s="4"/>
      <c r="I55" s="4" t="s">
        <v>31</v>
      </c>
      <c r="J55" s="4">
        <v>230</v>
      </c>
      <c r="K55" s="4">
        <v>1.5</v>
      </c>
      <c r="L55" s="4">
        <v>345</v>
      </c>
      <c r="M55" s="4">
        <v>0</v>
      </c>
    </row>
    <row r="56" spans="1:13" x14ac:dyDescent="0.2">
      <c r="A56" s="4" t="s">
        <v>1001</v>
      </c>
      <c r="B56" s="4" t="s">
        <v>1002</v>
      </c>
      <c r="C56" s="4" t="s">
        <v>592</v>
      </c>
      <c r="D56" s="4" t="s">
        <v>45</v>
      </c>
      <c r="E56" s="4" t="s">
        <v>88</v>
      </c>
      <c r="F56" s="5"/>
      <c r="G56" s="4">
        <v>0</v>
      </c>
      <c r="H56" s="4"/>
      <c r="I56" s="4" t="s">
        <v>31</v>
      </c>
      <c r="J56" s="4">
        <v>230</v>
      </c>
      <c r="K56" s="4">
        <v>1.5</v>
      </c>
      <c r="L56" s="4">
        <v>600</v>
      </c>
      <c r="M56" s="4">
        <v>0</v>
      </c>
    </row>
    <row r="57" spans="1:13" x14ac:dyDescent="0.2">
      <c r="A57" s="4" t="s">
        <v>3908</v>
      </c>
      <c r="B57" s="4" t="s">
        <v>3909</v>
      </c>
      <c r="C57" s="4" t="s">
        <v>19</v>
      </c>
      <c r="D57" s="4" t="s">
        <v>45</v>
      </c>
      <c r="E57" s="4" t="s">
        <v>88</v>
      </c>
      <c r="F57" s="5"/>
      <c r="G57" s="4">
        <v>0</v>
      </c>
      <c r="H57" s="4"/>
      <c r="I57" s="4" t="s">
        <v>31</v>
      </c>
      <c r="J57" s="4">
        <v>230</v>
      </c>
      <c r="K57" s="4">
        <v>1.5</v>
      </c>
      <c r="L57" s="4">
        <v>210</v>
      </c>
      <c r="M57" s="4">
        <v>135</v>
      </c>
    </row>
    <row r="58" spans="1:13" x14ac:dyDescent="0.2">
      <c r="A58" s="4" t="s">
        <v>937</v>
      </c>
      <c r="B58" s="4" t="s">
        <v>938</v>
      </c>
      <c r="C58" s="4" t="s">
        <v>91</v>
      </c>
      <c r="D58" s="4" t="s">
        <v>45</v>
      </c>
      <c r="E58" s="4" t="s">
        <v>88</v>
      </c>
      <c r="F58" s="5"/>
      <c r="G58" s="4">
        <v>0</v>
      </c>
      <c r="H58" s="4"/>
      <c r="I58" s="4" t="s">
        <v>31</v>
      </c>
      <c r="J58" s="4">
        <v>230</v>
      </c>
      <c r="K58" s="4">
        <v>1.5</v>
      </c>
      <c r="L58" s="4">
        <v>0</v>
      </c>
      <c r="M58" s="4">
        <v>345</v>
      </c>
    </row>
    <row r="59" spans="1:13" x14ac:dyDescent="0.2">
      <c r="A59" s="4" t="s">
        <v>969</v>
      </c>
      <c r="B59" s="4" t="s">
        <v>970</v>
      </c>
      <c r="C59" s="4" t="s">
        <v>94</v>
      </c>
      <c r="D59" s="4" t="s">
        <v>45</v>
      </c>
      <c r="E59" s="4" t="s">
        <v>88</v>
      </c>
      <c r="F59" s="5"/>
      <c r="G59" s="4">
        <v>0</v>
      </c>
      <c r="H59" s="4"/>
      <c r="I59" s="4" t="s">
        <v>31</v>
      </c>
      <c r="J59" s="4">
        <v>230</v>
      </c>
      <c r="K59" s="4">
        <v>1.5</v>
      </c>
      <c r="L59" s="4">
        <v>0</v>
      </c>
      <c r="M59" s="4">
        <v>345</v>
      </c>
    </row>
    <row r="60" spans="1:13" x14ac:dyDescent="0.2">
      <c r="A60" s="4" t="s">
        <v>497</v>
      </c>
      <c r="B60" s="4" t="s">
        <v>498</v>
      </c>
      <c r="C60" s="4" t="s">
        <v>94</v>
      </c>
      <c r="D60" s="4" t="s">
        <v>45</v>
      </c>
      <c r="E60" s="4" t="s">
        <v>88</v>
      </c>
      <c r="F60" s="5"/>
      <c r="G60" s="4">
        <v>0</v>
      </c>
      <c r="H60" s="4"/>
      <c r="I60" s="4" t="s">
        <v>31</v>
      </c>
      <c r="J60" s="4">
        <v>230</v>
      </c>
      <c r="K60" s="4">
        <v>1.5</v>
      </c>
      <c r="L60" s="4">
        <v>345</v>
      </c>
      <c r="M60" s="4">
        <v>0</v>
      </c>
    </row>
    <row r="61" spans="1:13" x14ac:dyDescent="0.2">
      <c r="A61" s="4" t="s">
        <v>1163</v>
      </c>
      <c r="B61" s="4" t="s">
        <v>1164</v>
      </c>
      <c r="C61" s="4" t="s">
        <v>94</v>
      </c>
      <c r="D61" s="4" t="s">
        <v>45</v>
      </c>
      <c r="E61" s="4" t="s">
        <v>88</v>
      </c>
      <c r="F61" s="5"/>
      <c r="G61" s="4">
        <v>0</v>
      </c>
      <c r="H61" s="4"/>
      <c r="I61" s="4" t="s">
        <v>34</v>
      </c>
      <c r="J61" s="4">
        <v>400</v>
      </c>
      <c r="K61" s="4">
        <v>1.5</v>
      </c>
      <c r="L61" s="4">
        <v>345</v>
      </c>
      <c r="M61" s="4">
        <v>255</v>
      </c>
    </row>
    <row r="62" spans="1:13" x14ac:dyDescent="0.2">
      <c r="A62" s="4" t="s">
        <v>451</v>
      </c>
      <c r="B62" s="4" t="s">
        <v>452</v>
      </c>
      <c r="C62" s="4" t="s">
        <v>4124</v>
      </c>
      <c r="D62" s="4" t="s">
        <v>45</v>
      </c>
      <c r="E62" s="4" t="s">
        <v>88</v>
      </c>
      <c r="F62" s="5"/>
      <c r="G62" s="4">
        <v>0</v>
      </c>
      <c r="H62" s="4"/>
      <c r="I62" s="4" t="s">
        <v>34</v>
      </c>
      <c r="J62" s="4">
        <v>400</v>
      </c>
      <c r="K62" s="4">
        <v>1.5</v>
      </c>
      <c r="L62" s="4">
        <v>810</v>
      </c>
      <c r="M62" s="4">
        <v>0</v>
      </c>
    </row>
    <row r="63" spans="1:13" x14ac:dyDescent="0.2">
      <c r="A63" s="4" t="s">
        <v>189</v>
      </c>
      <c r="B63" s="4" t="s">
        <v>190</v>
      </c>
      <c r="C63" s="4" t="s">
        <v>91</v>
      </c>
      <c r="D63" s="4" t="s">
        <v>45</v>
      </c>
      <c r="E63" s="4" t="s">
        <v>88</v>
      </c>
      <c r="F63" s="5"/>
      <c r="G63" s="4">
        <v>0</v>
      </c>
      <c r="H63" s="4"/>
      <c r="I63" s="4" t="s">
        <v>34</v>
      </c>
      <c r="J63" s="4">
        <v>400</v>
      </c>
      <c r="K63" s="4">
        <v>1.5</v>
      </c>
      <c r="L63" s="4">
        <v>210</v>
      </c>
      <c r="M63" s="4">
        <v>390</v>
      </c>
    </row>
    <row r="64" spans="1:13" x14ac:dyDescent="0.2">
      <c r="A64" s="4" t="s">
        <v>185</v>
      </c>
      <c r="B64" s="4" t="s">
        <v>186</v>
      </c>
      <c r="C64" s="4" t="s">
        <v>94</v>
      </c>
      <c r="D64" s="4" t="s">
        <v>45</v>
      </c>
      <c r="E64" s="4" t="s">
        <v>88</v>
      </c>
      <c r="F64" s="5"/>
      <c r="G64" s="4">
        <v>0</v>
      </c>
      <c r="H64" s="4"/>
      <c r="I64" s="4" t="s">
        <v>34</v>
      </c>
      <c r="J64" s="4">
        <v>400</v>
      </c>
      <c r="K64" s="4">
        <v>1.5</v>
      </c>
      <c r="L64" s="4">
        <v>600</v>
      </c>
      <c r="M64" s="4">
        <v>0</v>
      </c>
    </row>
    <row r="65" spans="1:13" x14ac:dyDescent="0.2">
      <c r="A65" s="4" t="s">
        <v>187</v>
      </c>
      <c r="B65" s="4" t="s">
        <v>188</v>
      </c>
      <c r="C65" s="4" t="s">
        <v>19</v>
      </c>
      <c r="D65" s="4" t="s">
        <v>45</v>
      </c>
      <c r="E65" s="4" t="s">
        <v>88</v>
      </c>
      <c r="F65" s="5"/>
      <c r="G65" s="4">
        <v>0</v>
      </c>
      <c r="H65" s="4"/>
      <c r="I65" s="4" t="s">
        <v>34</v>
      </c>
      <c r="J65" s="4">
        <v>400</v>
      </c>
      <c r="K65" s="4">
        <v>1.5</v>
      </c>
      <c r="L65" s="4">
        <v>345</v>
      </c>
      <c r="M65" s="4">
        <v>255</v>
      </c>
    </row>
    <row r="66" spans="1:13" x14ac:dyDescent="0.2">
      <c r="A66" s="4" t="s">
        <v>233</v>
      </c>
      <c r="B66" s="4" t="s">
        <v>234</v>
      </c>
      <c r="C66" s="4" t="s">
        <v>91</v>
      </c>
      <c r="D66" s="4" t="s">
        <v>45</v>
      </c>
      <c r="E66" s="4" t="s">
        <v>88</v>
      </c>
      <c r="F66" s="5"/>
      <c r="G66" s="4">
        <v>0</v>
      </c>
      <c r="H66" s="4"/>
      <c r="I66" s="4" t="s">
        <v>34</v>
      </c>
      <c r="J66" s="4">
        <v>400</v>
      </c>
      <c r="K66" s="4">
        <v>1.5</v>
      </c>
      <c r="L66" s="4">
        <v>345</v>
      </c>
      <c r="M66" s="4">
        <v>255</v>
      </c>
    </row>
    <row r="67" spans="1:13" x14ac:dyDescent="0.2">
      <c r="A67" s="4" t="s">
        <v>311</v>
      </c>
      <c r="B67" s="4" t="s">
        <v>312</v>
      </c>
      <c r="C67" s="4" t="s">
        <v>94</v>
      </c>
      <c r="D67" s="4" t="s">
        <v>45</v>
      </c>
      <c r="E67" s="4" t="s">
        <v>88</v>
      </c>
      <c r="F67" s="5"/>
      <c r="G67" s="4">
        <v>0</v>
      </c>
      <c r="H67" s="4"/>
      <c r="I67" s="4" t="s">
        <v>34</v>
      </c>
      <c r="J67" s="4">
        <v>400</v>
      </c>
      <c r="K67" s="4">
        <v>1.5</v>
      </c>
      <c r="L67" s="4">
        <v>210</v>
      </c>
      <c r="M67" s="4">
        <v>390</v>
      </c>
    </row>
    <row r="68" spans="1:13" x14ac:dyDescent="0.2">
      <c r="A68" s="4" t="s">
        <v>315</v>
      </c>
      <c r="B68" s="4" t="s">
        <v>316</v>
      </c>
      <c r="C68" s="4" t="s">
        <v>7</v>
      </c>
      <c r="D68" s="4" t="s">
        <v>45</v>
      </c>
      <c r="E68" s="4" t="s">
        <v>88</v>
      </c>
      <c r="F68" s="5"/>
      <c r="G68" s="4">
        <v>0</v>
      </c>
      <c r="H68" s="4"/>
      <c r="I68" s="4" t="s">
        <v>34</v>
      </c>
      <c r="J68" s="4">
        <v>400</v>
      </c>
      <c r="K68" s="4">
        <v>1.5</v>
      </c>
      <c r="L68" s="4">
        <v>345</v>
      </c>
      <c r="M68" s="4">
        <v>255</v>
      </c>
    </row>
    <row r="69" spans="1:13" x14ac:dyDescent="0.2">
      <c r="A69" s="4" t="s">
        <v>321</v>
      </c>
      <c r="B69" s="4" t="s">
        <v>322</v>
      </c>
      <c r="C69" s="4" t="s">
        <v>7</v>
      </c>
      <c r="D69" s="4" t="s">
        <v>45</v>
      </c>
      <c r="E69" s="4" t="s">
        <v>88</v>
      </c>
      <c r="F69" s="5">
        <v>45923</v>
      </c>
      <c r="G69" s="4">
        <v>179.8</v>
      </c>
      <c r="H69" s="4"/>
      <c r="I69" s="4" t="s">
        <v>34</v>
      </c>
      <c r="J69" s="4">
        <v>400</v>
      </c>
      <c r="K69" s="4">
        <v>1.5</v>
      </c>
      <c r="L69" s="4">
        <v>600</v>
      </c>
      <c r="M69" s="4">
        <v>0</v>
      </c>
    </row>
    <row r="70" spans="1:13" x14ac:dyDescent="0.2">
      <c r="A70" s="4" t="s">
        <v>999</v>
      </c>
      <c r="B70" s="4" t="s">
        <v>1000</v>
      </c>
      <c r="C70" s="4" t="s">
        <v>19</v>
      </c>
      <c r="D70" s="4" t="s">
        <v>45</v>
      </c>
      <c r="E70" s="4" t="s">
        <v>88</v>
      </c>
      <c r="F70" s="5"/>
      <c r="G70" s="4">
        <v>0</v>
      </c>
      <c r="H70" s="4"/>
      <c r="I70" s="4" t="s">
        <v>34</v>
      </c>
      <c r="J70" s="4">
        <v>400</v>
      </c>
      <c r="K70" s="4">
        <v>1.5</v>
      </c>
      <c r="L70" s="4">
        <v>345</v>
      </c>
      <c r="M70" s="4">
        <v>255</v>
      </c>
    </row>
    <row r="71" spans="1:13" x14ac:dyDescent="0.2">
      <c r="A71" s="4" t="s">
        <v>1287</v>
      </c>
      <c r="B71" s="4" t="s">
        <v>1288</v>
      </c>
      <c r="C71" s="4" t="s">
        <v>4125</v>
      </c>
      <c r="D71" s="4" t="s">
        <v>45</v>
      </c>
      <c r="E71" s="4" t="s">
        <v>88</v>
      </c>
      <c r="F71" s="5"/>
      <c r="G71" s="4">
        <v>0</v>
      </c>
      <c r="H71" s="4"/>
      <c r="I71" s="4" t="s">
        <v>34</v>
      </c>
      <c r="J71" s="4">
        <v>400</v>
      </c>
      <c r="K71" s="4">
        <v>1.5</v>
      </c>
      <c r="L71" s="4">
        <v>810</v>
      </c>
      <c r="M71" s="4">
        <v>0</v>
      </c>
    </row>
    <row r="72" spans="1:13" x14ac:dyDescent="0.2">
      <c r="A72" s="4" t="s">
        <v>345</v>
      </c>
      <c r="B72" s="4" t="s">
        <v>346</v>
      </c>
      <c r="C72" s="4" t="s">
        <v>7</v>
      </c>
      <c r="D72" s="4" t="s">
        <v>45</v>
      </c>
      <c r="E72" s="4" t="s">
        <v>88</v>
      </c>
      <c r="F72" s="5"/>
      <c r="G72" s="4">
        <v>0</v>
      </c>
      <c r="H72" s="4"/>
      <c r="I72" s="4" t="s">
        <v>34</v>
      </c>
      <c r="J72" s="4">
        <v>400</v>
      </c>
      <c r="K72" s="4">
        <v>1.5</v>
      </c>
      <c r="L72" s="4">
        <v>600</v>
      </c>
      <c r="M72" s="4">
        <v>0</v>
      </c>
    </row>
    <row r="73" spans="1:13" x14ac:dyDescent="0.2">
      <c r="A73" s="4" t="s">
        <v>371</v>
      </c>
      <c r="B73" s="4" t="s">
        <v>372</v>
      </c>
      <c r="C73" s="4" t="s">
        <v>1366</v>
      </c>
      <c r="D73" s="4" t="s">
        <v>45</v>
      </c>
      <c r="E73" s="4" t="s">
        <v>88</v>
      </c>
      <c r="F73" s="5"/>
      <c r="G73" s="4">
        <v>0</v>
      </c>
      <c r="H73" s="4"/>
      <c r="I73" s="4" t="s">
        <v>34</v>
      </c>
      <c r="J73" s="4">
        <v>400</v>
      </c>
      <c r="K73" s="4">
        <v>1.5</v>
      </c>
      <c r="L73" s="4">
        <v>810</v>
      </c>
      <c r="M73" s="4">
        <v>0</v>
      </c>
    </row>
    <row r="74" spans="1:13" x14ac:dyDescent="0.2">
      <c r="A74" s="4" t="s">
        <v>1279</v>
      </c>
      <c r="B74" s="4" t="s">
        <v>1280</v>
      </c>
      <c r="C74" s="4" t="s">
        <v>94</v>
      </c>
      <c r="D74" s="4" t="s">
        <v>45</v>
      </c>
      <c r="E74" s="4" t="s">
        <v>88</v>
      </c>
      <c r="F74" s="5"/>
      <c r="G74" s="4">
        <v>0</v>
      </c>
      <c r="H74" s="4"/>
      <c r="I74" s="4" t="s">
        <v>39</v>
      </c>
      <c r="J74" s="4">
        <v>540</v>
      </c>
      <c r="K74" s="4">
        <v>1.5</v>
      </c>
      <c r="L74" s="4">
        <v>600</v>
      </c>
      <c r="M74" s="4">
        <v>210</v>
      </c>
    </row>
    <row r="75" spans="1:13" x14ac:dyDescent="0.2">
      <c r="A75" s="4" t="s">
        <v>1121</v>
      </c>
      <c r="B75" s="4" t="s">
        <v>1122</v>
      </c>
      <c r="C75" s="4" t="s">
        <v>66</v>
      </c>
      <c r="D75" s="4" t="s">
        <v>45</v>
      </c>
      <c r="E75" s="4" t="s">
        <v>88</v>
      </c>
      <c r="F75" s="5"/>
      <c r="G75" s="4">
        <v>0</v>
      </c>
      <c r="H75" s="4"/>
      <c r="I75" s="4" t="s">
        <v>39</v>
      </c>
      <c r="J75" s="4">
        <v>540</v>
      </c>
      <c r="K75" s="4">
        <v>1.5</v>
      </c>
      <c r="L75" s="4">
        <v>210</v>
      </c>
      <c r="M75" s="4">
        <v>600</v>
      </c>
    </row>
    <row r="76" spans="1:13" x14ac:dyDescent="0.2">
      <c r="A76" s="4" t="s">
        <v>1289</v>
      </c>
      <c r="B76" s="4" t="s">
        <v>1290</v>
      </c>
      <c r="C76" s="4" t="s">
        <v>4125</v>
      </c>
      <c r="D76" s="4" t="s">
        <v>45</v>
      </c>
      <c r="E76" s="4" t="s">
        <v>88</v>
      </c>
      <c r="F76" s="5"/>
      <c r="G76" s="4">
        <v>0</v>
      </c>
      <c r="H76" s="4"/>
      <c r="I76" s="4" t="s">
        <v>39</v>
      </c>
      <c r="J76" s="4">
        <v>540</v>
      </c>
      <c r="K76" s="4">
        <v>1.5</v>
      </c>
      <c r="L76" s="4">
        <v>810</v>
      </c>
      <c r="M76" s="4">
        <v>0</v>
      </c>
    </row>
    <row r="77" spans="1:13" x14ac:dyDescent="0.2">
      <c r="A77" s="4" t="s">
        <v>349</v>
      </c>
      <c r="B77" s="4" t="s">
        <v>350</v>
      </c>
      <c r="C77" s="4" t="s">
        <v>4124</v>
      </c>
      <c r="D77" s="4" t="s">
        <v>45</v>
      </c>
      <c r="E77" s="4" t="s">
        <v>88</v>
      </c>
      <c r="F77" s="5"/>
      <c r="G77" s="4">
        <v>0</v>
      </c>
      <c r="H77" s="4"/>
      <c r="I77" s="4" t="s">
        <v>39</v>
      </c>
      <c r="J77" s="4">
        <v>540</v>
      </c>
      <c r="K77" s="4">
        <v>1.5</v>
      </c>
      <c r="L77" s="4">
        <v>600</v>
      </c>
      <c r="M77" s="4">
        <v>210</v>
      </c>
    </row>
    <row r="78" spans="1:13" x14ac:dyDescent="0.2">
      <c r="A78" s="4" t="s">
        <v>1191</v>
      </c>
      <c r="B78" s="4" t="s">
        <v>1192</v>
      </c>
      <c r="C78" s="4" t="s">
        <v>1366</v>
      </c>
      <c r="D78" s="4" t="s">
        <v>45</v>
      </c>
      <c r="E78" s="4" t="s">
        <v>88</v>
      </c>
      <c r="F78" s="5"/>
      <c r="G78" s="4">
        <v>0</v>
      </c>
      <c r="H78" s="4"/>
      <c r="I78" s="4" t="s">
        <v>39</v>
      </c>
      <c r="J78" s="4">
        <v>540</v>
      </c>
      <c r="K78" s="4">
        <v>1.5</v>
      </c>
      <c r="L78" s="4">
        <v>345</v>
      </c>
      <c r="M78" s="4">
        <v>465</v>
      </c>
    </row>
    <row r="79" spans="1:13" x14ac:dyDescent="0.2">
      <c r="A79" s="4" t="s">
        <v>3910</v>
      </c>
      <c r="B79" s="4" t="s">
        <v>3911</v>
      </c>
      <c r="C79" s="4" t="s">
        <v>4124</v>
      </c>
      <c r="D79" s="4" t="s">
        <v>63</v>
      </c>
      <c r="E79" s="4" t="s">
        <v>88</v>
      </c>
      <c r="F79" s="5"/>
      <c r="G79" s="4">
        <v>0</v>
      </c>
      <c r="H79" s="4"/>
      <c r="I79" s="4" t="s">
        <v>99</v>
      </c>
      <c r="J79" s="4">
        <v>140</v>
      </c>
      <c r="K79" s="4">
        <v>1.5</v>
      </c>
      <c r="L79" s="4">
        <v>0</v>
      </c>
      <c r="M79" s="4">
        <v>210</v>
      </c>
    </row>
    <row r="80" spans="1:13" x14ac:dyDescent="0.2">
      <c r="A80" s="4" t="s">
        <v>1217</v>
      </c>
      <c r="B80" s="4" t="s">
        <v>1218</v>
      </c>
      <c r="C80" s="4" t="s">
        <v>66</v>
      </c>
      <c r="D80" s="4" t="s">
        <v>45</v>
      </c>
      <c r="E80" s="4" t="s">
        <v>88</v>
      </c>
      <c r="F80" s="5"/>
      <c r="G80" s="4">
        <v>0</v>
      </c>
      <c r="H80" s="4"/>
      <c r="I80" s="4" t="s">
        <v>99</v>
      </c>
      <c r="J80" s="4">
        <v>140</v>
      </c>
      <c r="K80" s="4">
        <v>1.5</v>
      </c>
      <c r="L80" s="4">
        <v>210</v>
      </c>
      <c r="M80" s="4">
        <v>0</v>
      </c>
    </row>
    <row r="81" spans="1:13" x14ac:dyDescent="0.2">
      <c r="A81" s="4" t="s">
        <v>1215</v>
      </c>
      <c r="B81" s="4" t="s">
        <v>1216</v>
      </c>
      <c r="C81" s="4" t="s">
        <v>66</v>
      </c>
      <c r="D81" s="4" t="s">
        <v>45</v>
      </c>
      <c r="E81" s="4" t="s">
        <v>88</v>
      </c>
      <c r="F81" s="5"/>
      <c r="G81" s="4">
        <v>0</v>
      </c>
      <c r="H81" s="4"/>
      <c r="I81" s="4" t="s">
        <v>99</v>
      </c>
      <c r="J81" s="4">
        <v>140</v>
      </c>
      <c r="K81" s="4">
        <v>1.5</v>
      </c>
      <c r="L81" s="4">
        <v>210</v>
      </c>
      <c r="M81" s="4">
        <v>0</v>
      </c>
    </row>
    <row r="82" spans="1:13" x14ac:dyDescent="0.2">
      <c r="A82" s="4" t="s">
        <v>3271</v>
      </c>
      <c r="B82" s="4" t="s">
        <v>3272</v>
      </c>
      <c r="C82" s="4" t="s">
        <v>4126</v>
      </c>
      <c r="D82" s="4" t="s">
        <v>45</v>
      </c>
      <c r="E82" s="4" t="s">
        <v>88</v>
      </c>
      <c r="F82" s="5"/>
      <c r="G82" s="4">
        <v>0</v>
      </c>
      <c r="H82" s="4"/>
      <c r="I82" s="4" t="s">
        <v>4089</v>
      </c>
      <c r="J82" s="4">
        <v>140</v>
      </c>
      <c r="K82" s="4">
        <v>1.5</v>
      </c>
      <c r="L82" s="4">
        <v>0</v>
      </c>
      <c r="M82" s="4">
        <v>210</v>
      </c>
    </row>
    <row r="83" spans="1:13" x14ac:dyDescent="0.2">
      <c r="A83" s="2" t="s">
        <v>3912</v>
      </c>
      <c r="B83" s="2" t="s">
        <v>3913</v>
      </c>
      <c r="C83" s="2" t="s">
        <v>66</v>
      </c>
      <c r="D83" s="2" t="s">
        <v>52</v>
      </c>
      <c r="E83" s="2" t="s">
        <v>4128</v>
      </c>
      <c r="F83" s="5"/>
      <c r="G83" s="4">
        <v>0</v>
      </c>
      <c r="H83" s="4"/>
      <c r="I83" s="2" t="s">
        <v>29</v>
      </c>
      <c r="J83" s="2">
        <v>140</v>
      </c>
      <c r="K83" s="2">
        <v>1.5</v>
      </c>
      <c r="L83" s="2">
        <v>0</v>
      </c>
      <c r="M83" s="2">
        <v>210</v>
      </c>
    </row>
    <row r="84" spans="1:13" x14ac:dyDescent="0.2">
      <c r="A84" s="2" t="s">
        <v>109</v>
      </c>
      <c r="B84" s="2" t="s">
        <v>110</v>
      </c>
      <c r="C84" s="2" t="s">
        <v>54</v>
      </c>
      <c r="D84" s="2" t="s">
        <v>52</v>
      </c>
      <c r="E84" s="2" t="s">
        <v>4128</v>
      </c>
      <c r="F84" s="5"/>
      <c r="G84" s="4">
        <v>0</v>
      </c>
      <c r="H84" s="4"/>
      <c r="I84" s="2" t="s">
        <v>29</v>
      </c>
      <c r="J84" s="2">
        <v>140</v>
      </c>
      <c r="K84" s="2">
        <v>1.5</v>
      </c>
      <c r="L84" s="2">
        <v>210</v>
      </c>
      <c r="M84" s="2">
        <v>0</v>
      </c>
    </row>
    <row r="85" spans="1:13" x14ac:dyDescent="0.2">
      <c r="A85" s="2" t="s">
        <v>1011</v>
      </c>
      <c r="B85" s="2" t="s">
        <v>1012</v>
      </c>
      <c r="C85" s="2" t="s">
        <v>592</v>
      </c>
      <c r="D85" s="2" t="s">
        <v>52</v>
      </c>
      <c r="E85" s="2" t="s">
        <v>4128</v>
      </c>
      <c r="F85" s="5">
        <v>45937</v>
      </c>
      <c r="G85" s="4">
        <v>0</v>
      </c>
      <c r="H85" s="4"/>
      <c r="I85" s="2" t="s">
        <v>29</v>
      </c>
      <c r="J85" s="2">
        <v>140</v>
      </c>
      <c r="K85" s="2">
        <v>1.5</v>
      </c>
      <c r="L85" s="2">
        <v>210</v>
      </c>
      <c r="M85" s="2">
        <v>0</v>
      </c>
    </row>
    <row r="86" spans="1:13" x14ac:dyDescent="0.2">
      <c r="A86" s="2" t="s">
        <v>631</v>
      </c>
      <c r="B86" s="2" t="s">
        <v>632</v>
      </c>
      <c r="C86" s="2" t="s">
        <v>592</v>
      </c>
      <c r="D86" s="2" t="s">
        <v>52</v>
      </c>
      <c r="E86" s="2" t="s">
        <v>4128</v>
      </c>
      <c r="F86" s="5"/>
      <c r="G86" s="4">
        <v>0</v>
      </c>
      <c r="H86" s="4"/>
      <c r="I86" s="2" t="s">
        <v>29</v>
      </c>
      <c r="J86" s="2">
        <v>140</v>
      </c>
      <c r="K86" s="2">
        <v>1.5</v>
      </c>
      <c r="L86" s="2">
        <v>0</v>
      </c>
      <c r="M86" s="2">
        <v>210</v>
      </c>
    </row>
    <row r="87" spans="1:13" x14ac:dyDescent="0.2">
      <c r="A87" s="2" t="s">
        <v>3273</v>
      </c>
      <c r="B87" s="2" t="s">
        <v>3274</v>
      </c>
      <c r="C87" s="2" t="s">
        <v>4125</v>
      </c>
      <c r="D87" s="2" t="s">
        <v>52</v>
      </c>
      <c r="E87" s="2" t="s">
        <v>4128</v>
      </c>
      <c r="F87" s="5"/>
      <c r="G87" s="4">
        <v>0</v>
      </c>
      <c r="H87" s="4"/>
      <c r="I87" s="2" t="s">
        <v>29</v>
      </c>
      <c r="J87" s="2">
        <v>140</v>
      </c>
      <c r="K87" s="2">
        <v>1.5</v>
      </c>
      <c r="L87" s="2">
        <v>0</v>
      </c>
      <c r="M87" s="2">
        <v>210</v>
      </c>
    </row>
    <row r="88" spans="1:13" x14ac:dyDescent="0.2">
      <c r="A88" s="2" t="s">
        <v>3275</v>
      </c>
      <c r="B88" s="2" t="s">
        <v>3276</v>
      </c>
      <c r="C88" s="2" t="s">
        <v>4125</v>
      </c>
      <c r="D88" s="2" t="s">
        <v>52</v>
      </c>
      <c r="E88" s="2" t="s">
        <v>4128</v>
      </c>
      <c r="F88" s="5"/>
      <c r="G88" s="4">
        <v>0</v>
      </c>
      <c r="H88" s="4"/>
      <c r="I88" s="2" t="s">
        <v>29</v>
      </c>
      <c r="J88" s="2">
        <v>140</v>
      </c>
      <c r="K88" s="2">
        <v>1.5</v>
      </c>
      <c r="L88" s="2">
        <v>0</v>
      </c>
      <c r="M88" s="2">
        <v>210</v>
      </c>
    </row>
    <row r="89" spans="1:13" x14ac:dyDescent="0.2">
      <c r="A89" s="2" t="s">
        <v>3914</v>
      </c>
      <c r="B89" s="2" t="s">
        <v>3915</v>
      </c>
      <c r="C89" s="2" t="s">
        <v>4125</v>
      </c>
      <c r="D89" s="2" t="s">
        <v>52</v>
      </c>
      <c r="E89" s="2" t="s">
        <v>4128</v>
      </c>
      <c r="F89" s="5"/>
      <c r="G89" s="4">
        <v>0</v>
      </c>
      <c r="H89" s="4"/>
      <c r="I89" s="2" t="s">
        <v>29</v>
      </c>
      <c r="J89" s="2">
        <v>140</v>
      </c>
      <c r="K89" s="2">
        <v>1.5</v>
      </c>
      <c r="L89" s="2">
        <v>0</v>
      </c>
      <c r="M89" s="2">
        <v>210</v>
      </c>
    </row>
    <row r="90" spans="1:13" x14ac:dyDescent="0.2">
      <c r="A90" s="2" t="s">
        <v>3277</v>
      </c>
      <c r="B90" s="2" t="s">
        <v>3278</v>
      </c>
      <c r="C90" s="2" t="s">
        <v>54</v>
      </c>
      <c r="D90" s="2" t="s">
        <v>52</v>
      </c>
      <c r="E90" s="2" t="s">
        <v>4128</v>
      </c>
      <c r="F90" s="5">
        <v>45952</v>
      </c>
      <c r="G90" s="4">
        <v>5500</v>
      </c>
      <c r="H90" s="4" t="s">
        <v>4134</v>
      </c>
      <c r="I90" s="2" t="s">
        <v>29</v>
      </c>
      <c r="J90" s="2">
        <v>140</v>
      </c>
      <c r="K90" s="2">
        <v>1.5</v>
      </c>
      <c r="L90" s="2">
        <v>0</v>
      </c>
      <c r="M90" s="2">
        <v>210</v>
      </c>
    </row>
    <row r="91" spans="1:13" x14ac:dyDescent="0.2">
      <c r="A91" s="2" t="s">
        <v>111</v>
      </c>
      <c r="B91" s="2" t="s">
        <v>112</v>
      </c>
      <c r="C91" s="2" t="s">
        <v>19</v>
      </c>
      <c r="D91" s="2" t="s">
        <v>52</v>
      </c>
      <c r="E91" s="2" t="s">
        <v>4128</v>
      </c>
      <c r="F91" s="5"/>
      <c r="G91" s="4">
        <v>0</v>
      </c>
      <c r="H91" s="4"/>
      <c r="I91" s="2" t="s">
        <v>29</v>
      </c>
      <c r="J91" s="2">
        <v>140</v>
      </c>
      <c r="K91" s="2">
        <v>1.5</v>
      </c>
      <c r="L91" s="2">
        <v>210</v>
      </c>
      <c r="M91" s="2">
        <v>0</v>
      </c>
    </row>
    <row r="92" spans="1:13" x14ac:dyDescent="0.2">
      <c r="A92" s="2" t="s">
        <v>3279</v>
      </c>
      <c r="B92" s="2" t="s">
        <v>3280</v>
      </c>
      <c r="C92" s="2" t="s">
        <v>66</v>
      </c>
      <c r="D92" s="2" t="s">
        <v>52</v>
      </c>
      <c r="E92" s="2" t="s">
        <v>4128</v>
      </c>
      <c r="F92" s="5"/>
      <c r="G92" s="4">
        <v>0</v>
      </c>
      <c r="H92" s="4"/>
      <c r="I92" s="2" t="s">
        <v>29</v>
      </c>
      <c r="J92" s="2">
        <v>140</v>
      </c>
      <c r="K92" s="2">
        <v>1.5</v>
      </c>
      <c r="L92" s="2">
        <v>0</v>
      </c>
      <c r="M92" s="2">
        <v>210</v>
      </c>
    </row>
    <row r="93" spans="1:13" x14ac:dyDescent="0.2">
      <c r="A93" s="2" t="s">
        <v>1015</v>
      </c>
      <c r="B93" s="2" t="s">
        <v>1016</v>
      </c>
      <c r="C93" s="2" t="s">
        <v>66</v>
      </c>
      <c r="D93" s="2" t="s">
        <v>52</v>
      </c>
      <c r="E93" s="2" t="s">
        <v>4128</v>
      </c>
      <c r="F93" s="5"/>
      <c r="G93" s="4">
        <v>0</v>
      </c>
      <c r="H93" s="4"/>
      <c r="I93" s="2" t="s">
        <v>29</v>
      </c>
      <c r="J93" s="2">
        <v>140</v>
      </c>
      <c r="K93" s="2">
        <v>1.5</v>
      </c>
      <c r="L93" s="2">
        <v>210</v>
      </c>
      <c r="M93" s="2">
        <v>0</v>
      </c>
    </row>
    <row r="94" spans="1:13" x14ac:dyDescent="0.2">
      <c r="A94" s="2" t="s">
        <v>397</v>
      </c>
      <c r="B94" s="2" t="s">
        <v>398</v>
      </c>
      <c r="C94" s="2" t="s">
        <v>54</v>
      </c>
      <c r="D94" s="2" t="s">
        <v>52</v>
      </c>
      <c r="E94" s="2" t="s">
        <v>4128</v>
      </c>
      <c r="F94" s="5"/>
      <c r="G94" s="4">
        <v>0</v>
      </c>
      <c r="H94" s="4"/>
      <c r="I94" s="2" t="s">
        <v>29</v>
      </c>
      <c r="J94" s="2">
        <v>140</v>
      </c>
      <c r="K94" s="2">
        <v>1.5</v>
      </c>
      <c r="L94" s="2">
        <v>210</v>
      </c>
      <c r="M94" s="2">
        <v>0</v>
      </c>
    </row>
    <row r="95" spans="1:13" x14ac:dyDescent="0.2">
      <c r="A95" s="2" t="s">
        <v>399</v>
      </c>
      <c r="B95" s="2" t="s">
        <v>400</v>
      </c>
      <c r="C95" s="2" t="s">
        <v>592</v>
      </c>
      <c r="D95" s="2" t="s">
        <v>52</v>
      </c>
      <c r="E95" s="2" t="s">
        <v>4128</v>
      </c>
      <c r="F95" s="5"/>
      <c r="G95" s="4">
        <v>0</v>
      </c>
      <c r="H95" s="4"/>
      <c r="I95" s="2" t="s">
        <v>29</v>
      </c>
      <c r="J95" s="2">
        <v>140</v>
      </c>
      <c r="K95" s="2">
        <v>1.5</v>
      </c>
      <c r="L95" s="2">
        <v>210</v>
      </c>
      <c r="M95" s="2">
        <v>0</v>
      </c>
    </row>
    <row r="96" spans="1:13" x14ac:dyDescent="0.2">
      <c r="A96" s="2" t="s">
        <v>629</v>
      </c>
      <c r="B96" s="2" t="s">
        <v>630</v>
      </c>
      <c r="C96" s="2" t="s">
        <v>91</v>
      </c>
      <c r="D96" s="2" t="s">
        <v>52</v>
      </c>
      <c r="E96" s="2" t="s">
        <v>4128</v>
      </c>
      <c r="F96" s="5"/>
      <c r="G96" s="4">
        <v>0</v>
      </c>
      <c r="H96" s="4"/>
      <c r="I96" s="2" t="s">
        <v>29</v>
      </c>
      <c r="J96" s="2">
        <v>140</v>
      </c>
      <c r="K96" s="2">
        <v>1.5</v>
      </c>
      <c r="L96" s="2">
        <v>0</v>
      </c>
      <c r="M96" s="2">
        <v>210</v>
      </c>
    </row>
    <row r="97" spans="1:13" x14ac:dyDescent="0.2">
      <c r="A97" s="2" t="s">
        <v>617</v>
      </c>
      <c r="B97" s="2" t="s">
        <v>618</v>
      </c>
      <c r="C97" s="2" t="s">
        <v>19</v>
      </c>
      <c r="D97" s="2" t="s">
        <v>52</v>
      </c>
      <c r="E97" s="2" t="s">
        <v>4128</v>
      </c>
      <c r="F97" s="5"/>
      <c r="G97" s="4">
        <v>0</v>
      </c>
      <c r="H97" s="4"/>
      <c r="I97" s="2" t="s">
        <v>29</v>
      </c>
      <c r="J97" s="2">
        <v>140</v>
      </c>
      <c r="K97" s="2">
        <v>1.5</v>
      </c>
      <c r="L97" s="2">
        <v>0</v>
      </c>
      <c r="M97" s="2">
        <v>210</v>
      </c>
    </row>
    <row r="98" spans="1:13" x14ac:dyDescent="0.2">
      <c r="A98" s="2" t="s">
        <v>3916</v>
      </c>
      <c r="B98" s="2" t="s">
        <v>3917</v>
      </c>
      <c r="C98" s="2" t="s">
        <v>66</v>
      </c>
      <c r="D98" s="2" t="s">
        <v>52</v>
      </c>
      <c r="E98" s="2" t="s">
        <v>4128</v>
      </c>
      <c r="F98" s="5"/>
      <c r="G98" s="4">
        <v>0</v>
      </c>
      <c r="H98" s="4"/>
      <c r="I98" s="2" t="s">
        <v>29</v>
      </c>
      <c r="J98" s="2">
        <v>140</v>
      </c>
      <c r="K98" s="2">
        <v>1.5</v>
      </c>
      <c r="L98" s="2">
        <v>0</v>
      </c>
      <c r="M98" s="2">
        <v>210</v>
      </c>
    </row>
    <row r="99" spans="1:13" x14ac:dyDescent="0.2">
      <c r="A99" s="2" t="s">
        <v>3918</v>
      </c>
      <c r="B99" s="2" t="s">
        <v>3919</v>
      </c>
      <c r="C99" s="2" t="s">
        <v>1366</v>
      </c>
      <c r="D99" s="2" t="s">
        <v>52</v>
      </c>
      <c r="E99" s="2" t="s">
        <v>4128</v>
      </c>
      <c r="F99" s="5"/>
      <c r="G99" s="4">
        <v>0</v>
      </c>
      <c r="H99" s="4"/>
      <c r="I99" s="2" t="s">
        <v>29</v>
      </c>
      <c r="J99" s="2">
        <v>140</v>
      </c>
      <c r="K99" s="2">
        <v>1.5</v>
      </c>
      <c r="L99" s="2">
        <v>0</v>
      </c>
      <c r="M99" s="2">
        <v>210</v>
      </c>
    </row>
    <row r="100" spans="1:13" x14ac:dyDescent="0.2">
      <c r="A100" s="2" t="s">
        <v>1005</v>
      </c>
      <c r="B100" s="2" t="s">
        <v>1006</v>
      </c>
      <c r="C100" s="2" t="s">
        <v>94</v>
      </c>
      <c r="D100" s="2" t="s">
        <v>52</v>
      </c>
      <c r="E100" s="2" t="s">
        <v>4128</v>
      </c>
      <c r="F100" s="5"/>
      <c r="G100" s="4">
        <v>0</v>
      </c>
      <c r="H100" s="4"/>
      <c r="I100" s="2" t="s">
        <v>29</v>
      </c>
      <c r="J100" s="2">
        <v>140</v>
      </c>
      <c r="K100" s="2">
        <v>1.5</v>
      </c>
      <c r="L100" s="2">
        <v>210</v>
      </c>
      <c r="M100" s="2">
        <v>0</v>
      </c>
    </row>
    <row r="101" spans="1:13" x14ac:dyDescent="0.2">
      <c r="A101" s="2" t="s">
        <v>1013</v>
      </c>
      <c r="B101" s="2" t="s">
        <v>1014</v>
      </c>
      <c r="C101" s="2" t="s">
        <v>19</v>
      </c>
      <c r="D101" s="2" t="s">
        <v>52</v>
      </c>
      <c r="E101" s="2" t="s">
        <v>4128</v>
      </c>
      <c r="F101" s="5"/>
      <c r="G101" s="4">
        <v>0</v>
      </c>
      <c r="H101" s="4"/>
      <c r="I101" s="2" t="s">
        <v>29</v>
      </c>
      <c r="J101" s="2">
        <v>140</v>
      </c>
      <c r="K101" s="2">
        <v>1.5</v>
      </c>
      <c r="L101" s="2">
        <v>210</v>
      </c>
      <c r="M101" s="2">
        <v>0</v>
      </c>
    </row>
    <row r="102" spans="1:13" x14ac:dyDescent="0.2">
      <c r="A102" s="2" t="s">
        <v>3281</v>
      </c>
      <c r="B102" s="2" t="s">
        <v>3282</v>
      </c>
      <c r="C102" s="2" t="s">
        <v>4125</v>
      </c>
      <c r="D102" s="2" t="s">
        <v>52</v>
      </c>
      <c r="E102" s="2" t="s">
        <v>4128</v>
      </c>
      <c r="F102" s="5"/>
      <c r="G102" s="4">
        <v>0</v>
      </c>
      <c r="H102" s="4"/>
      <c r="I102" s="2" t="s">
        <v>29</v>
      </c>
      <c r="J102" s="2">
        <v>140</v>
      </c>
      <c r="K102" s="2">
        <v>1.5</v>
      </c>
      <c r="L102" s="2">
        <v>0</v>
      </c>
      <c r="M102" s="2">
        <v>210</v>
      </c>
    </row>
    <row r="103" spans="1:13" x14ac:dyDescent="0.2">
      <c r="A103" s="2" t="s">
        <v>3283</v>
      </c>
      <c r="B103" s="2" t="s">
        <v>3284</v>
      </c>
      <c r="C103" s="2" t="s">
        <v>4125</v>
      </c>
      <c r="D103" s="2" t="s">
        <v>52</v>
      </c>
      <c r="E103" s="2" t="s">
        <v>4128</v>
      </c>
      <c r="F103" s="5"/>
      <c r="G103" s="4">
        <v>0</v>
      </c>
      <c r="H103" s="4"/>
      <c r="I103" s="2" t="s">
        <v>29</v>
      </c>
      <c r="J103" s="2">
        <v>140</v>
      </c>
      <c r="K103" s="2">
        <v>1.5</v>
      </c>
      <c r="L103" s="2">
        <v>0</v>
      </c>
      <c r="M103" s="2">
        <v>210</v>
      </c>
    </row>
    <row r="104" spans="1:13" x14ac:dyDescent="0.2">
      <c r="A104" s="2" t="s">
        <v>3285</v>
      </c>
      <c r="B104" s="2" t="s">
        <v>3286</v>
      </c>
      <c r="C104" s="2" t="s">
        <v>91</v>
      </c>
      <c r="D104" s="2" t="s">
        <v>52</v>
      </c>
      <c r="E104" s="2" t="s">
        <v>4128</v>
      </c>
      <c r="F104" s="5"/>
      <c r="G104" s="4">
        <v>0</v>
      </c>
      <c r="H104" s="4"/>
      <c r="I104" s="2" t="s">
        <v>29</v>
      </c>
      <c r="J104" s="2">
        <v>140</v>
      </c>
      <c r="K104" s="2">
        <v>1.5</v>
      </c>
      <c r="L104" s="2">
        <v>0</v>
      </c>
      <c r="M104" s="2">
        <v>210</v>
      </c>
    </row>
    <row r="105" spans="1:13" x14ac:dyDescent="0.2">
      <c r="A105" s="2" t="s">
        <v>655</v>
      </c>
      <c r="B105" s="2" t="s">
        <v>656</v>
      </c>
      <c r="C105" s="2" t="s">
        <v>592</v>
      </c>
      <c r="D105" s="2" t="s">
        <v>52</v>
      </c>
      <c r="E105" s="2" t="s">
        <v>4128</v>
      </c>
      <c r="F105" s="5"/>
      <c r="G105" s="4">
        <v>0</v>
      </c>
      <c r="H105" s="4"/>
      <c r="I105" s="2" t="s">
        <v>29</v>
      </c>
      <c r="J105" s="2">
        <v>140</v>
      </c>
      <c r="K105" s="2">
        <v>1.5</v>
      </c>
      <c r="L105" s="2">
        <v>0</v>
      </c>
      <c r="M105" s="2">
        <v>210</v>
      </c>
    </row>
    <row r="106" spans="1:13" x14ac:dyDescent="0.2">
      <c r="A106" s="2" t="s">
        <v>641</v>
      </c>
      <c r="B106" s="2" t="s">
        <v>642</v>
      </c>
      <c r="C106" s="2" t="s">
        <v>91</v>
      </c>
      <c r="D106" s="2" t="s">
        <v>52</v>
      </c>
      <c r="E106" s="2" t="s">
        <v>4128</v>
      </c>
      <c r="F106" s="5"/>
      <c r="G106" s="4">
        <v>0</v>
      </c>
      <c r="H106" s="4"/>
      <c r="I106" s="2" t="s">
        <v>29</v>
      </c>
      <c r="J106" s="2">
        <v>140</v>
      </c>
      <c r="K106" s="2">
        <v>1.5</v>
      </c>
      <c r="L106" s="2">
        <v>0</v>
      </c>
      <c r="M106" s="2">
        <v>210</v>
      </c>
    </row>
    <row r="107" spans="1:13" x14ac:dyDescent="0.2">
      <c r="A107" s="2" t="s">
        <v>3287</v>
      </c>
      <c r="B107" s="2" t="s">
        <v>3288</v>
      </c>
      <c r="C107" s="2" t="s">
        <v>91</v>
      </c>
      <c r="D107" s="2" t="s">
        <v>52</v>
      </c>
      <c r="E107" s="2" t="s">
        <v>4128</v>
      </c>
      <c r="F107" s="5"/>
      <c r="G107" s="4">
        <v>0</v>
      </c>
      <c r="H107" s="4"/>
      <c r="I107" s="2" t="s">
        <v>29</v>
      </c>
      <c r="J107" s="2">
        <v>140</v>
      </c>
      <c r="K107" s="2">
        <v>1.5</v>
      </c>
      <c r="L107" s="2">
        <v>0</v>
      </c>
      <c r="M107" s="2">
        <v>210</v>
      </c>
    </row>
    <row r="108" spans="1:13" x14ac:dyDescent="0.2">
      <c r="A108" s="2" t="s">
        <v>637</v>
      </c>
      <c r="B108" s="2" t="s">
        <v>638</v>
      </c>
      <c r="C108" s="2" t="s">
        <v>4125</v>
      </c>
      <c r="D108" s="2" t="s">
        <v>52</v>
      </c>
      <c r="E108" s="2" t="s">
        <v>4128</v>
      </c>
      <c r="F108" s="5"/>
      <c r="G108" s="4">
        <v>0</v>
      </c>
      <c r="H108" s="4"/>
      <c r="I108" s="2" t="s">
        <v>29</v>
      </c>
      <c r="J108" s="2">
        <v>140</v>
      </c>
      <c r="K108" s="2">
        <v>1.5</v>
      </c>
      <c r="L108" s="2">
        <v>0</v>
      </c>
      <c r="M108" s="2">
        <v>210</v>
      </c>
    </row>
    <row r="109" spans="1:13" x14ac:dyDescent="0.2">
      <c r="A109" s="2" t="s">
        <v>643</v>
      </c>
      <c r="B109" s="2" t="s">
        <v>644</v>
      </c>
      <c r="C109" s="2" t="s">
        <v>4125</v>
      </c>
      <c r="D109" s="2" t="s">
        <v>52</v>
      </c>
      <c r="E109" s="2" t="s">
        <v>4128</v>
      </c>
      <c r="F109" s="5"/>
      <c r="G109" s="4">
        <v>0</v>
      </c>
      <c r="H109" s="4"/>
      <c r="I109" s="2" t="s">
        <v>29</v>
      </c>
      <c r="J109" s="2">
        <v>140</v>
      </c>
      <c r="K109" s="2">
        <v>1.5</v>
      </c>
      <c r="L109" s="2">
        <v>0</v>
      </c>
      <c r="M109" s="2">
        <v>210</v>
      </c>
    </row>
    <row r="110" spans="1:13" x14ac:dyDescent="0.2">
      <c r="A110" s="2" t="s">
        <v>3920</v>
      </c>
      <c r="B110" s="2" t="s">
        <v>3921</v>
      </c>
      <c r="C110" s="2" t="s">
        <v>54</v>
      </c>
      <c r="D110" s="2" t="s">
        <v>52</v>
      </c>
      <c r="E110" s="2" t="s">
        <v>4128</v>
      </c>
      <c r="F110" s="5"/>
      <c r="G110" s="4">
        <v>0</v>
      </c>
      <c r="H110" s="4"/>
      <c r="I110" s="2" t="s">
        <v>29</v>
      </c>
      <c r="J110" s="2">
        <v>140</v>
      </c>
      <c r="K110" s="2">
        <v>1.5</v>
      </c>
      <c r="L110" s="2">
        <v>0</v>
      </c>
      <c r="M110" s="2">
        <v>210</v>
      </c>
    </row>
    <row r="111" spans="1:13" x14ac:dyDescent="0.2">
      <c r="A111" s="2" t="s">
        <v>633</v>
      </c>
      <c r="B111" s="2" t="s">
        <v>634</v>
      </c>
      <c r="C111" s="2" t="s">
        <v>66</v>
      </c>
      <c r="D111" s="2" t="s">
        <v>52</v>
      </c>
      <c r="E111" s="2" t="s">
        <v>4128</v>
      </c>
      <c r="F111" s="5"/>
      <c r="G111" s="4">
        <v>0</v>
      </c>
      <c r="H111" s="4"/>
      <c r="I111" s="2" t="s">
        <v>29</v>
      </c>
      <c r="J111" s="2">
        <v>140</v>
      </c>
      <c r="K111" s="2">
        <v>1.5</v>
      </c>
      <c r="L111" s="2">
        <v>0</v>
      </c>
      <c r="M111" s="2">
        <v>210</v>
      </c>
    </row>
    <row r="112" spans="1:13" x14ac:dyDescent="0.2">
      <c r="A112" s="2" t="s">
        <v>3289</v>
      </c>
      <c r="B112" s="2" t="s">
        <v>3290</v>
      </c>
      <c r="C112" s="2" t="s">
        <v>592</v>
      </c>
      <c r="D112" s="2" t="s">
        <v>52</v>
      </c>
      <c r="E112" s="2" t="s">
        <v>4128</v>
      </c>
      <c r="F112" s="5"/>
      <c r="G112" s="4">
        <v>0</v>
      </c>
      <c r="H112" s="4"/>
      <c r="I112" s="2" t="s">
        <v>29</v>
      </c>
      <c r="J112" s="2">
        <v>140</v>
      </c>
      <c r="K112" s="2">
        <v>1.5</v>
      </c>
      <c r="L112" s="2">
        <v>0</v>
      </c>
      <c r="M112" s="2">
        <v>210</v>
      </c>
    </row>
    <row r="113" spans="1:13" x14ac:dyDescent="0.2">
      <c r="A113" s="2" t="s">
        <v>647</v>
      </c>
      <c r="B113" s="2" t="s">
        <v>648</v>
      </c>
      <c r="C113" s="2" t="s">
        <v>66</v>
      </c>
      <c r="D113" s="2" t="s">
        <v>52</v>
      </c>
      <c r="E113" s="2" t="s">
        <v>4128</v>
      </c>
      <c r="F113" s="5"/>
      <c r="G113" s="4">
        <v>0</v>
      </c>
      <c r="H113" s="4"/>
      <c r="I113" s="2" t="s">
        <v>29</v>
      </c>
      <c r="J113" s="2">
        <v>140</v>
      </c>
      <c r="K113" s="2">
        <v>1.5</v>
      </c>
      <c r="L113" s="2">
        <v>0</v>
      </c>
      <c r="M113" s="2">
        <v>210</v>
      </c>
    </row>
    <row r="114" spans="1:13" x14ac:dyDescent="0.2">
      <c r="A114" s="2" t="s">
        <v>651</v>
      </c>
      <c r="B114" s="2" t="s">
        <v>652</v>
      </c>
      <c r="C114" s="2" t="s">
        <v>91</v>
      </c>
      <c r="D114" s="2" t="s">
        <v>52</v>
      </c>
      <c r="E114" s="2" t="s">
        <v>4128</v>
      </c>
      <c r="F114" s="5"/>
      <c r="G114" s="4">
        <v>0</v>
      </c>
      <c r="H114" s="4"/>
      <c r="I114" s="2" t="s">
        <v>29</v>
      </c>
      <c r="J114" s="2">
        <v>140</v>
      </c>
      <c r="K114" s="2">
        <v>1.5</v>
      </c>
      <c r="L114" s="2">
        <v>0</v>
      </c>
      <c r="M114" s="2">
        <v>210</v>
      </c>
    </row>
    <row r="115" spans="1:13" x14ac:dyDescent="0.2">
      <c r="A115" s="2" t="s">
        <v>3291</v>
      </c>
      <c r="B115" s="2" t="s">
        <v>3292</v>
      </c>
      <c r="C115" s="2" t="s">
        <v>4126</v>
      </c>
      <c r="D115" s="2" t="s">
        <v>52</v>
      </c>
      <c r="E115" s="2" t="s">
        <v>4128</v>
      </c>
      <c r="F115" s="5"/>
      <c r="G115" s="4">
        <v>0</v>
      </c>
      <c r="H115" s="4"/>
      <c r="I115" s="2" t="s">
        <v>29</v>
      </c>
      <c r="J115" s="2">
        <v>140</v>
      </c>
      <c r="K115" s="2">
        <v>1.5</v>
      </c>
      <c r="L115" s="2">
        <v>0</v>
      </c>
      <c r="M115" s="2">
        <v>210</v>
      </c>
    </row>
    <row r="116" spans="1:13" x14ac:dyDescent="0.2">
      <c r="A116" s="2" t="s">
        <v>3293</v>
      </c>
      <c r="B116" s="2" t="s">
        <v>3294</v>
      </c>
      <c r="C116" s="2" t="s">
        <v>91</v>
      </c>
      <c r="D116" s="2" t="s">
        <v>52</v>
      </c>
      <c r="E116" s="2" t="s">
        <v>4128</v>
      </c>
      <c r="F116" s="5"/>
      <c r="G116" s="4">
        <v>0</v>
      </c>
      <c r="H116" s="4"/>
      <c r="I116" s="2" t="s">
        <v>29</v>
      </c>
      <c r="J116" s="2">
        <v>140</v>
      </c>
      <c r="K116" s="2">
        <v>1.5</v>
      </c>
      <c r="L116" s="2">
        <v>0</v>
      </c>
      <c r="M116" s="2">
        <v>210</v>
      </c>
    </row>
    <row r="117" spans="1:13" x14ac:dyDescent="0.2">
      <c r="A117" s="2" t="s">
        <v>3295</v>
      </c>
      <c r="B117" s="2" t="s">
        <v>3296</v>
      </c>
      <c r="C117" s="2" t="s">
        <v>1366</v>
      </c>
      <c r="D117" s="2" t="s">
        <v>52</v>
      </c>
      <c r="E117" s="2" t="s">
        <v>4128</v>
      </c>
      <c r="F117" s="5"/>
      <c r="G117" s="4">
        <v>0</v>
      </c>
      <c r="H117" s="4"/>
      <c r="I117" s="2" t="s">
        <v>29</v>
      </c>
      <c r="J117" s="2">
        <v>140</v>
      </c>
      <c r="K117" s="2">
        <v>1.5</v>
      </c>
      <c r="L117" s="2">
        <v>0</v>
      </c>
      <c r="M117" s="2">
        <v>210</v>
      </c>
    </row>
    <row r="118" spans="1:13" x14ac:dyDescent="0.2">
      <c r="A118" s="2" t="s">
        <v>519</v>
      </c>
      <c r="B118" s="2" t="s">
        <v>520</v>
      </c>
      <c r="C118" s="2" t="s">
        <v>94</v>
      </c>
      <c r="D118" s="2" t="s">
        <v>52</v>
      </c>
      <c r="E118" s="2" t="s">
        <v>4128</v>
      </c>
      <c r="F118" s="5"/>
      <c r="G118" s="4">
        <v>0</v>
      </c>
      <c r="H118" s="4"/>
      <c r="I118" s="2" t="s">
        <v>29</v>
      </c>
      <c r="J118" s="2">
        <v>140</v>
      </c>
      <c r="K118" s="2">
        <v>1.5</v>
      </c>
      <c r="L118" s="2">
        <v>210</v>
      </c>
      <c r="M118" s="2">
        <v>0</v>
      </c>
    </row>
    <row r="119" spans="1:13" x14ac:dyDescent="0.2">
      <c r="A119" s="2" t="s">
        <v>3297</v>
      </c>
      <c r="B119" s="2" t="s">
        <v>3298</v>
      </c>
      <c r="C119" s="2" t="s">
        <v>94</v>
      </c>
      <c r="D119" s="2" t="s">
        <v>52</v>
      </c>
      <c r="E119" s="2" t="s">
        <v>4128</v>
      </c>
      <c r="F119" s="5"/>
      <c r="G119" s="4">
        <v>0</v>
      </c>
      <c r="H119" s="4"/>
      <c r="I119" s="2" t="s">
        <v>29</v>
      </c>
      <c r="J119" s="2">
        <v>140</v>
      </c>
      <c r="K119" s="2">
        <v>1.5</v>
      </c>
      <c r="L119" s="2">
        <v>0</v>
      </c>
      <c r="M119" s="2">
        <v>210</v>
      </c>
    </row>
    <row r="120" spans="1:13" x14ac:dyDescent="0.2">
      <c r="A120" s="2" t="s">
        <v>3299</v>
      </c>
      <c r="B120" s="2" t="s">
        <v>3300</v>
      </c>
      <c r="C120" s="2" t="s">
        <v>19</v>
      </c>
      <c r="D120" s="2" t="s">
        <v>52</v>
      </c>
      <c r="E120" s="2" t="s">
        <v>4128</v>
      </c>
      <c r="F120" s="5"/>
      <c r="G120" s="4">
        <v>0</v>
      </c>
      <c r="H120" s="4"/>
      <c r="I120" s="2" t="s">
        <v>29</v>
      </c>
      <c r="J120" s="2">
        <v>140</v>
      </c>
      <c r="K120" s="2">
        <v>1.5</v>
      </c>
      <c r="L120" s="2">
        <v>0</v>
      </c>
      <c r="M120" s="2">
        <v>210</v>
      </c>
    </row>
    <row r="121" spans="1:13" x14ac:dyDescent="0.2">
      <c r="A121" s="2" t="s">
        <v>3301</v>
      </c>
      <c r="B121" s="2" t="s">
        <v>3302</v>
      </c>
      <c r="C121" s="2" t="s">
        <v>94</v>
      </c>
      <c r="D121" s="2" t="s">
        <v>52</v>
      </c>
      <c r="E121" s="2" t="s">
        <v>4128</v>
      </c>
      <c r="F121" s="5"/>
      <c r="G121" s="4">
        <v>0</v>
      </c>
      <c r="H121" s="4"/>
      <c r="I121" s="2" t="s">
        <v>29</v>
      </c>
      <c r="J121" s="2">
        <v>140</v>
      </c>
      <c r="K121" s="2">
        <v>1.5</v>
      </c>
      <c r="L121" s="2">
        <v>0</v>
      </c>
      <c r="M121" s="2">
        <v>210</v>
      </c>
    </row>
    <row r="122" spans="1:13" x14ac:dyDescent="0.2">
      <c r="A122" s="2" t="s">
        <v>523</v>
      </c>
      <c r="B122" s="2" t="s">
        <v>524</v>
      </c>
      <c r="C122" s="2" t="s">
        <v>54</v>
      </c>
      <c r="D122" s="2" t="s">
        <v>52</v>
      </c>
      <c r="E122" s="2" t="s">
        <v>4128</v>
      </c>
      <c r="F122" s="5"/>
      <c r="G122" s="4">
        <v>0</v>
      </c>
      <c r="H122" s="4"/>
      <c r="I122" s="2" t="s">
        <v>29</v>
      </c>
      <c r="J122" s="2">
        <v>140</v>
      </c>
      <c r="K122" s="2">
        <v>1.5</v>
      </c>
      <c r="L122" s="2">
        <v>345</v>
      </c>
      <c r="M122" s="2">
        <v>0</v>
      </c>
    </row>
    <row r="123" spans="1:13" x14ac:dyDescent="0.2">
      <c r="A123" s="2" t="s">
        <v>131</v>
      </c>
      <c r="B123" s="2" t="s">
        <v>132</v>
      </c>
      <c r="C123" s="2" t="s">
        <v>54</v>
      </c>
      <c r="D123" s="2" t="s">
        <v>52</v>
      </c>
      <c r="E123" s="2" t="s">
        <v>4128</v>
      </c>
      <c r="F123" s="5"/>
      <c r="G123" s="4">
        <v>0</v>
      </c>
      <c r="H123" s="4"/>
      <c r="I123" s="2" t="s">
        <v>29</v>
      </c>
      <c r="J123" s="2">
        <v>140</v>
      </c>
      <c r="K123" s="2">
        <v>1.5</v>
      </c>
      <c r="L123" s="2">
        <v>210</v>
      </c>
      <c r="M123" s="2">
        <v>0</v>
      </c>
    </row>
    <row r="124" spans="1:13" x14ac:dyDescent="0.2">
      <c r="A124" s="2" t="s">
        <v>129</v>
      </c>
      <c r="B124" s="2" t="s">
        <v>130</v>
      </c>
      <c r="C124" s="2" t="s">
        <v>7</v>
      </c>
      <c r="D124" s="2" t="s">
        <v>52</v>
      </c>
      <c r="E124" s="2" t="s">
        <v>4128</v>
      </c>
      <c r="F124" s="5"/>
      <c r="G124" s="4">
        <v>0</v>
      </c>
      <c r="H124" s="4"/>
      <c r="I124" s="2" t="s">
        <v>29</v>
      </c>
      <c r="J124" s="2">
        <v>140</v>
      </c>
      <c r="K124" s="2">
        <v>1.5</v>
      </c>
      <c r="L124" s="2">
        <v>345</v>
      </c>
      <c r="M124" s="2">
        <v>0</v>
      </c>
    </row>
    <row r="125" spans="1:13" x14ac:dyDescent="0.2">
      <c r="A125" s="2" t="s">
        <v>3303</v>
      </c>
      <c r="B125" s="2" t="s">
        <v>3304</v>
      </c>
      <c r="C125" s="2" t="s">
        <v>4125</v>
      </c>
      <c r="D125" s="2" t="s">
        <v>52</v>
      </c>
      <c r="E125" s="2" t="s">
        <v>4128</v>
      </c>
      <c r="F125" s="5"/>
      <c r="G125" s="4">
        <v>0</v>
      </c>
      <c r="H125" s="4"/>
      <c r="I125" s="2" t="s">
        <v>29</v>
      </c>
      <c r="J125" s="2">
        <v>140</v>
      </c>
      <c r="K125" s="2">
        <v>1.5</v>
      </c>
      <c r="L125" s="2">
        <v>0</v>
      </c>
      <c r="M125" s="2">
        <v>210</v>
      </c>
    </row>
    <row r="126" spans="1:13" x14ac:dyDescent="0.2">
      <c r="A126" s="2" t="s">
        <v>665</v>
      </c>
      <c r="B126" s="2" t="s">
        <v>666</v>
      </c>
      <c r="C126" s="2" t="s">
        <v>54</v>
      </c>
      <c r="D126" s="2" t="s">
        <v>52</v>
      </c>
      <c r="E126" s="2" t="s">
        <v>4128</v>
      </c>
      <c r="F126" s="5"/>
      <c r="G126" s="4">
        <v>0</v>
      </c>
      <c r="H126" s="4"/>
      <c r="I126" s="2" t="s">
        <v>29</v>
      </c>
      <c r="J126" s="2">
        <v>140</v>
      </c>
      <c r="K126" s="2">
        <v>1.5</v>
      </c>
      <c r="L126" s="2">
        <v>0</v>
      </c>
      <c r="M126" s="2">
        <v>210</v>
      </c>
    </row>
    <row r="127" spans="1:13" x14ac:dyDescent="0.2">
      <c r="A127" s="2" t="s">
        <v>3305</v>
      </c>
      <c r="B127" s="2" t="s">
        <v>3306</v>
      </c>
      <c r="C127" s="2" t="s">
        <v>4126</v>
      </c>
      <c r="D127" s="2" t="s">
        <v>52</v>
      </c>
      <c r="E127" s="2" t="s">
        <v>4128</v>
      </c>
      <c r="F127" s="5"/>
      <c r="G127" s="4">
        <v>0</v>
      </c>
      <c r="H127" s="4"/>
      <c r="I127" s="2" t="s">
        <v>29</v>
      </c>
      <c r="J127" s="2">
        <v>140</v>
      </c>
      <c r="K127" s="2">
        <v>1.5</v>
      </c>
      <c r="L127" s="2">
        <v>0</v>
      </c>
      <c r="M127" s="2">
        <v>210</v>
      </c>
    </row>
    <row r="128" spans="1:13" x14ac:dyDescent="0.2">
      <c r="A128" s="2" t="s">
        <v>3307</v>
      </c>
      <c r="B128" s="2" t="s">
        <v>3308</v>
      </c>
      <c r="C128" s="2" t="s">
        <v>1366</v>
      </c>
      <c r="D128" s="2" t="s">
        <v>52</v>
      </c>
      <c r="E128" s="2" t="s">
        <v>4128</v>
      </c>
      <c r="F128" s="5"/>
      <c r="G128" s="4">
        <v>0</v>
      </c>
      <c r="H128" s="4"/>
      <c r="I128" s="2" t="s">
        <v>29</v>
      </c>
      <c r="J128" s="2">
        <v>140</v>
      </c>
      <c r="K128" s="2">
        <v>1.5</v>
      </c>
      <c r="L128" s="2">
        <v>0</v>
      </c>
      <c r="M128" s="2">
        <v>210</v>
      </c>
    </row>
    <row r="129" spans="1:13" x14ac:dyDescent="0.2">
      <c r="A129" s="2" t="s">
        <v>3309</v>
      </c>
      <c r="B129" s="2" t="s">
        <v>3310</v>
      </c>
      <c r="C129" s="2" t="s">
        <v>4126</v>
      </c>
      <c r="D129" s="2" t="s">
        <v>52</v>
      </c>
      <c r="E129" s="2" t="s">
        <v>4128</v>
      </c>
      <c r="F129" s="5"/>
      <c r="G129" s="4">
        <v>0</v>
      </c>
      <c r="H129" s="4"/>
      <c r="I129" s="2" t="s">
        <v>29</v>
      </c>
      <c r="J129" s="2">
        <v>140</v>
      </c>
      <c r="K129" s="2">
        <v>1.5</v>
      </c>
      <c r="L129" s="2">
        <v>0</v>
      </c>
      <c r="M129" s="2">
        <v>210</v>
      </c>
    </row>
    <row r="130" spans="1:13" x14ac:dyDescent="0.2">
      <c r="A130" s="2" t="s">
        <v>661</v>
      </c>
      <c r="B130" s="2" t="s">
        <v>662</v>
      </c>
      <c r="C130" s="2" t="s">
        <v>4125</v>
      </c>
      <c r="D130" s="2" t="s">
        <v>52</v>
      </c>
      <c r="E130" s="2" t="s">
        <v>4128</v>
      </c>
      <c r="F130" s="5"/>
      <c r="G130" s="4">
        <v>0</v>
      </c>
      <c r="H130" s="4"/>
      <c r="I130" s="2" t="s">
        <v>29</v>
      </c>
      <c r="J130" s="2">
        <v>140</v>
      </c>
      <c r="K130" s="2">
        <v>1.5</v>
      </c>
      <c r="L130" s="2">
        <v>0</v>
      </c>
      <c r="M130" s="2">
        <v>210</v>
      </c>
    </row>
    <row r="131" spans="1:13" x14ac:dyDescent="0.2">
      <c r="A131" s="2" t="s">
        <v>1133</v>
      </c>
      <c r="B131" s="2" t="s">
        <v>1134</v>
      </c>
      <c r="C131" s="2" t="s">
        <v>19</v>
      </c>
      <c r="D131" s="2" t="s">
        <v>52</v>
      </c>
      <c r="E131" s="2" t="s">
        <v>4128</v>
      </c>
      <c r="F131" s="5"/>
      <c r="G131" s="4">
        <v>0</v>
      </c>
      <c r="H131" s="4"/>
      <c r="I131" s="2" t="s">
        <v>29</v>
      </c>
      <c r="J131" s="2">
        <v>140</v>
      </c>
      <c r="K131" s="2">
        <v>1.5</v>
      </c>
      <c r="L131" s="2">
        <v>210</v>
      </c>
      <c r="M131" s="2">
        <v>0</v>
      </c>
    </row>
    <row r="132" spans="1:13" x14ac:dyDescent="0.2">
      <c r="A132" s="4" t="s">
        <v>3922</v>
      </c>
      <c r="B132" s="4" t="s">
        <v>3923</v>
      </c>
      <c r="C132" s="4" t="s">
        <v>4124</v>
      </c>
      <c r="D132" s="4" t="s">
        <v>63</v>
      </c>
      <c r="E132" s="4" t="s">
        <v>88</v>
      </c>
      <c r="F132" s="5"/>
      <c r="G132" s="4">
        <v>0</v>
      </c>
      <c r="H132" s="4"/>
      <c r="I132" s="4" t="s">
        <v>29</v>
      </c>
      <c r="J132" s="4">
        <v>140</v>
      </c>
      <c r="K132" s="4">
        <v>1.5</v>
      </c>
      <c r="L132" s="4">
        <v>0</v>
      </c>
      <c r="M132" s="4">
        <v>210</v>
      </c>
    </row>
    <row r="133" spans="1:13" x14ac:dyDescent="0.2">
      <c r="A133" s="2" t="s">
        <v>659</v>
      </c>
      <c r="B133" s="2" t="s">
        <v>660</v>
      </c>
      <c r="C133" s="2" t="s">
        <v>4125</v>
      </c>
      <c r="D133" s="2" t="s">
        <v>52</v>
      </c>
      <c r="E133" s="2" t="s">
        <v>4128</v>
      </c>
      <c r="F133" s="5"/>
      <c r="G133" s="4">
        <v>0</v>
      </c>
      <c r="H133" s="4"/>
      <c r="I133" s="2" t="s">
        <v>29</v>
      </c>
      <c r="J133" s="2">
        <v>140</v>
      </c>
      <c r="K133" s="2">
        <v>1.5</v>
      </c>
      <c r="L133" s="2">
        <v>0</v>
      </c>
      <c r="M133" s="2">
        <v>210</v>
      </c>
    </row>
    <row r="134" spans="1:13" x14ac:dyDescent="0.2">
      <c r="A134" s="2" t="s">
        <v>3311</v>
      </c>
      <c r="B134" s="2" t="s">
        <v>3312</v>
      </c>
      <c r="C134" s="2" t="s">
        <v>54</v>
      </c>
      <c r="D134" s="2" t="s">
        <v>52</v>
      </c>
      <c r="E134" s="2" t="s">
        <v>4128</v>
      </c>
      <c r="F134" s="5"/>
      <c r="G134" s="4">
        <v>0</v>
      </c>
      <c r="H134" s="4"/>
      <c r="I134" s="2" t="s">
        <v>29</v>
      </c>
      <c r="J134" s="2">
        <v>140</v>
      </c>
      <c r="K134" s="2">
        <v>1.5</v>
      </c>
      <c r="L134" s="2">
        <v>0</v>
      </c>
      <c r="M134" s="2">
        <v>210</v>
      </c>
    </row>
    <row r="135" spans="1:13" x14ac:dyDescent="0.2">
      <c r="A135" s="2" t="s">
        <v>3313</v>
      </c>
      <c r="B135" s="2" t="s">
        <v>3314</v>
      </c>
      <c r="C135" s="2" t="s">
        <v>1366</v>
      </c>
      <c r="D135" s="2" t="s">
        <v>52</v>
      </c>
      <c r="E135" s="2" t="s">
        <v>4128</v>
      </c>
      <c r="F135" s="5"/>
      <c r="G135" s="4">
        <v>0</v>
      </c>
      <c r="H135" s="4"/>
      <c r="I135" s="2" t="s">
        <v>29</v>
      </c>
      <c r="J135" s="2">
        <v>140</v>
      </c>
      <c r="K135" s="2">
        <v>1.5</v>
      </c>
      <c r="L135" s="2">
        <v>0</v>
      </c>
      <c r="M135" s="2">
        <v>210</v>
      </c>
    </row>
    <row r="136" spans="1:13" x14ac:dyDescent="0.2">
      <c r="A136" s="2" t="s">
        <v>3315</v>
      </c>
      <c r="B136" s="2" t="s">
        <v>3316</v>
      </c>
      <c r="C136" s="2" t="s">
        <v>54</v>
      </c>
      <c r="D136" s="2" t="s">
        <v>52</v>
      </c>
      <c r="E136" s="2" t="s">
        <v>4128</v>
      </c>
      <c r="F136" s="5"/>
      <c r="G136" s="4">
        <v>0</v>
      </c>
      <c r="H136" s="4"/>
      <c r="I136" s="2" t="s">
        <v>29</v>
      </c>
      <c r="J136" s="2">
        <v>140</v>
      </c>
      <c r="K136" s="2">
        <v>1.5</v>
      </c>
      <c r="L136" s="2">
        <v>0</v>
      </c>
      <c r="M136" s="2">
        <v>210</v>
      </c>
    </row>
    <row r="137" spans="1:13" x14ac:dyDescent="0.2">
      <c r="A137" s="2" t="s">
        <v>3317</v>
      </c>
      <c r="B137" s="2" t="s">
        <v>3318</v>
      </c>
      <c r="C137" s="2" t="s">
        <v>1366</v>
      </c>
      <c r="D137" s="2" t="s">
        <v>52</v>
      </c>
      <c r="E137" s="2" t="s">
        <v>4128</v>
      </c>
      <c r="F137" s="5"/>
      <c r="G137" s="4">
        <v>0</v>
      </c>
      <c r="H137" s="4"/>
      <c r="I137" s="2" t="s">
        <v>29</v>
      </c>
      <c r="J137" s="2">
        <v>140</v>
      </c>
      <c r="K137" s="2">
        <v>1.5</v>
      </c>
      <c r="L137" s="2">
        <v>0</v>
      </c>
      <c r="M137" s="2">
        <v>210</v>
      </c>
    </row>
    <row r="138" spans="1:13" x14ac:dyDescent="0.2">
      <c r="A138" s="2" t="s">
        <v>3319</v>
      </c>
      <c r="B138" s="2" t="s">
        <v>3320</v>
      </c>
      <c r="C138" s="2" t="s">
        <v>1366</v>
      </c>
      <c r="D138" s="2" t="s">
        <v>52</v>
      </c>
      <c r="E138" s="2" t="s">
        <v>4128</v>
      </c>
      <c r="F138" s="5"/>
      <c r="G138" s="4">
        <v>0</v>
      </c>
      <c r="H138" s="4"/>
      <c r="I138" s="2" t="s">
        <v>29</v>
      </c>
      <c r="J138" s="2">
        <v>140</v>
      </c>
      <c r="K138" s="2">
        <v>1.5</v>
      </c>
      <c r="L138" s="2">
        <v>0</v>
      </c>
      <c r="M138" s="2">
        <v>210</v>
      </c>
    </row>
    <row r="139" spans="1:13" x14ac:dyDescent="0.2">
      <c r="A139" s="2" t="s">
        <v>3321</v>
      </c>
      <c r="B139" s="2" t="s">
        <v>3322</v>
      </c>
      <c r="C139" s="2" t="s">
        <v>592</v>
      </c>
      <c r="D139" s="2" t="s">
        <v>52</v>
      </c>
      <c r="E139" s="2" t="s">
        <v>4128</v>
      </c>
      <c r="F139" s="5"/>
      <c r="G139" s="4">
        <v>0</v>
      </c>
      <c r="H139" s="4"/>
      <c r="I139" s="2" t="s">
        <v>29</v>
      </c>
      <c r="J139" s="2">
        <v>140</v>
      </c>
      <c r="K139" s="2">
        <v>1.5</v>
      </c>
      <c r="L139" s="2">
        <v>0</v>
      </c>
      <c r="M139" s="2">
        <v>210</v>
      </c>
    </row>
    <row r="140" spans="1:13" x14ac:dyDescent="0.2">
      <c r="A140" s="2" t="s">
        <v>3323</v>
      </c>
      <c r="B140" s="2" t="s">
        <v>3324</v>
      </c>
      <c r="C140" s="2" t="s">
        <v>4125</v>
      </c>
      <c r="D140" s="2" t="s">
        <v>52</v>
      </c>
      <c r="E140" s="2" t="s">
        <v>4128</v>
      </c>
      <c r="F140" s="5"/>
      <c r="G140" s="4">
        <v>0</v>
      </c>
      <c r="H140" s="4"/>
      <c r="I140" s="2" t="s">
        <v>29</v>
      </c>
      <c r="J140" s="2">
        <v>140</v>
      </c>
      <c r="K140" s="2">
        <v>1.5</v>
      </c>
      <c r="L140" s="2">
        <v>0</v>
      </c>
      <c r="M140" s="2">
        <v>210</v>
      </c>
    </row>
    <row r="141" spans="1:13" x14ac:dyDescent="0.2">
      <c r="A141" s="2" t="s">
        <v>3325</v>
      </c>
      <c r="B141" s="2" t="s">
        <v>3326</v>
      </c>
      <c r="C141" s="2" t="s">
        <v>66</v>
      </c>
      <c r="D141" s="2" t="s">
        <v>52</v>
      </c>
      <c r="E141" s="2" t="s">
        <v>4128</v>
      </c>
      <c r="F141" s="5"/>
      <c r="G141" s="4">
        <v>0</v>
      </c>
      <c r="H141" s="4"/>
      <c r="I141" s="2" t="s">
        <v>29</v>
      </c>
      <c r="J141" s="2">
        <v>140</v>
      </c>
      <c r="K141" s="2">
        <v>1.5</v>
      </c>
      <c r="L141" s="2">
        <v>0</v>
      </c>
      <c r="M141" s="2">
        <v>210</v>
      </c>
    </row>
    <row r="142" spans="1:13" x14ac:dyDescent="0.2">
      <c r="A142" s="2" t="s">
        <v>3327</v>
      </c>
      <c r="B142" s="2" t="s">
        <v>3328</v>
      </c>
      <c r="C142" s="2" t="s">
        <v>66</v>
      </c>
      <c r="D142" s="2" t="s">
        <v>52</v>
      </c>
      <c r="E142" s="2" t="s">
        <v>4128</v>
      </c>
      <c r="F142" s="5"/>
      <c r="G142" s="4">
        <v>0</v>
      </c>
      <c r="H142" s="4"/>
      <c r="I142" s="2" t="s">
        <v>29</v>
      </c>
      <c r="J142" s="2">
        <v>140</v>
      </c>
      <c r="K142" s="2">
        <v>1.5</v>
      </c>
      <c r="L142" s="2">
        <v>0</v>
      </c>
      <c r="M142" s="2">
        <v>210</v>
      </c>
    </row>
    <row r="143" spans="1:13" x14ac:dyDescent="0.2">
      <c r="A143" s="2" t="s">
        <v>675</v>
      </c>
      <c r="B143" s="2" t="s">
        <v>676</v>
      </c>
      <c r="C143" s="2" t="s">
        <v>66</v>
      </c>
      <c r="D143" s="2" t="s">
        <v>52</v>
      </c>
      <c r="E143" s="2" t="s">
        <v>4128</v>
      </c>
      <c r="F143" s="5"/>
      <c r="G143" s="4">
        <v>0</v>
      </c>
      <c r="H143" s="4"/>
      <c r="I143" s="2" t="s">
        <v>29</v>
      </c>
      <c r="J143" s="2">
        <v>140</v>
      </c>
      <c r="K143" s="2">
        <v>1.5</v>
      </c>
      <c r="L143" s="2">
        <v>0</v>
      </c>
      <c r="M143" s="2">
        <v>210</v>
      </c>
    </row>
    <row r="144" spans="1:13" x14ac:dyDescent="0.2">
      <c r="A144" s="2" t="s">
        <v>3329</v>
      </c>
      <c r="B144" s="2" t="s">
        <v>3330</v>
      </c>
      <c r="C144" s="2" t="s">
        <v>66</v>
      </c>
      <c r="D144" s="2" t="s">
        <v>52</v>
      </c>
      <c r="E144" s="2" t="s">
        <v>4128</v>
      </c>
      <c r="F144" s="5"/>
      <c r="G144" s="4">
        <v>0</v>
      </c>
      <c r="H144" s="4"/>
      <c r="I144" s="2" t="s">
        <v>29</v>
      </c>
      <c r="J144" s="2">
        <v>140</v>
      </c>
      <c r="K144" s="2">
        <v>1.5</v>
      </c>
      <c r="L144" s="2">
        <v>0</v>
      </c>
      <c r="M144" s="2">
        <v>210</v>
      </c>
    </row>
    <row r="145" spans="1:13" x14ac:dyDescent="0.2">
      <c r="A145" s="2" t="s">
        <v>3331</v>
      </c>
      <c r="B145" s="2" t="s">
        <v>3332</v>
      </c>
      <c r="C145" s="2" t="s">
        <v>66</v>
      </c>
      <c r="D145" s="2" t="s">
        <v>52</v>
      </c>
      <c r="E145" s="2" t="s">
        <v>4128</v>
      </c>
      <c r="F145" s="5"/>
      <c r="G145" s="4">
        <v>0</v>
      </c>
      <c r="H145" s="4"/>
      <c r="I145" s="2" t="s">
        <v>29</v>
      </c>
      <c r="J145" s="2">
        <v>140</v>
      </c>
      <c r="K145" s="2">
        <v>1.5</v>
      </c>
      <c r="L145" s="2">
        <v>0</v>
      </c>
      <c r="M145" s="2">
        <v>210</v>
      </c>
    </row>
    <row r="146" spans="1:13" x14ac:dyDescent="0.2">
      <c r="A146" s="2" t="s">
        <v>1035</v>
      </c>
      <c r="B146" s="2" t="s">
        <v>1036</v>
      </c>
      <c r="C146" s="2" t="s">
        <v>66</v>
      </c>
      <c r="D146" s="2" t="s">
        <v>52</v>
      </c>
      <c r="E146" s="2" t="s">
        <v>4128</v>
      </c>
      <c r="F146" s="5"/>
      <c r="G146" s="4">
        <v>0</v>
      </c>
      <c r="H146" s="4"/>
      <c r="I146" s="2" t="s">
        <v>29</v>
      </c>
      <c r="J146" s="2">
        <v>140</v>
      </c>
      <c r="K146" s="2">
        <v>1.5</v>
      </c>
      <c r="L146" s="2">
        <v>210</v>
      </c>
      <c r="M146" s="2">
        <v>0</v>
      </c>
    </row>
    <row r="147" spans="1:13" x14ac:dyDescent="0.2">
      <c r="A147" s="2" t="s">
        <v>3924</v>
      </c>
      <c r="B147" s="2" t="s">
        <v>3925</v>
      </c>
      <c r="C147" s="2" t="s">
        <v>19</v>
      </c>
      <c r="D147" s="2" t="s">
        <v>52</v>
      </c>
      <c r="E147" s="2" t="s">
        <v>4128</v>
      </c>
      <c r="F147" s="5"/>
      <c r="G147" s="4">
        <v>0</v>
      </c>
      <c r="H147" s="4"/>
      <c r="I147" s="2" t="s">
        <v>29</v>
      </c>
      <c r="J147" s="2">
        <v>140</v>
      </c>
      <c r="K147" s="2">
        <v>1.5</v>
      </c>
      <c r="L147" s="2">
        <v>0</v>
      </c>
      <c r="M147" s="2">
        <v>210</v>
      </c>
    </row>
    <row r="148" spans="1:13" x14ac:dyDescent="0.2">
      <c r="A148" s="2" t="s">
        <v>3333</v>
      </c>
      <c r="B148" s="2" t="s">
        <v>3334</v>
      </c>
      <c r="C148" s="2" t="s">
        <v>66</v>
      </c>
      <c r="D148" s="2" t="s">
        <v>52</v>
      </c>
      <c r="E148" s="2" t="s">
        <v>4128</v>
      </c>
      <c r="F148" s="5"/>
      <c r="G148" s="4">
        <v>0</v>
      </c>
      <c r="H148" s="4"/>
      <c r="I148" s="2" t="s">
        <v>29</v>
      </c>
      <c r="J148" s="2">
        <v>140</v>
      </c>
      <c r="K148" s="2">
        <v>1.5</v>
      </c>
      <c r="L148" s="2">
        <v>0</v>
      </c>
      <c r="M148" s="2">
        <v>210</v>
      </c>
    </row>
    <row r="149" spans="1:13" x14ac:dyDescent="0.2">
      <c r="A149" s="2" t="s">
        <v>602</v>
      </c>
      <c r="B149" s="2" t="s">
        <v>603</v>
      </c>
      <c r="C149" s="2" t="s">
        <v>19</v>
      </c>
      <c r="D149" s="2" t="s">
        <v>52</v>
      </c>
      <c r="E149" s="2" t="s">
        <v>4128</v>
      </c>
      <c r="F149" s="5"/>
      <c r="G149" s="4">
        <v>0</v>
      </c>
      <c r="H149" s="4"/>
      <c r="I149" s="2" t="s">
        <v>29</v>
      </c>
      <c r="J149" s="2">
        <v>140</v>
      </c>
      <c r="K149" s="2">
        <v>1.5</v>
      </c>
      <c r="L149" s="2">
        <v>210</v>
      </c>
      <c r="M149" s="2">
        <v>0</v>
      </c>
    </row>
    <row r="150" spans="1:13" x14ac:dyDescent="0.2">
      <c r="A150" s="2" t="s">
        <v>3335</v>
      </c>
      <c r="B150" s="2" t="s">
        <v>3336</v>
      </c>
      <c r="C150" s="2" t="s">
        <v>592</v>
      </c>
      <c r="D150" s="2" t="s">
        <v>52</v>
      </c>
      <c r="E150" s="2" t="s">
        <v>4128</v>
      </c>
      <c r="F150" s="5"/>
      <c r="G150" s="4">
        <v>0</v>
      </c>
      <c r="H150" s="4"/>
      <c r="I150" s="2" t="s">
        <v>29</v>
      </c>
      <c r="J150" s="2">
        <v>140</v>
      </c>
      <c r="K150" s="2">
        <v>1.5</v>
      </c>
      <c r="L150" s="2">
        <v>0</v>
      </c>
      <c r="M150" s="2">
        <v>210</v>
      </c>
    </row>
    <row r="151" spans="1:13" x14ac:dyDescent="0.2">
      <c r="A151" s="4" t="s">
        <v>3926</v>
      </c>
      <c r="B151" s="4" t="s">
        <v>3927</v>
      </c>
      <c r="C151" s="4" t="s">
        <v>4124</v>
      </c>
      <c r="D151" s="4" t="s">
        <v>52</v>
      </c>
      <c r="E151" s="4" t="s">
        <v>88</v>
      </c>
      <c r="F151" s="5"/>
      <c r="G151" s="4">
        <v>0</v>
      </c>
      <c r="H151" s="4"/>
      <c r="I151" s="4" t="s">
        <v>29</v>
      </c>
      <c r="J151" s="4">
        <v>140</v>
      </c>
      <c r="K151" s="4">
        <v>1.5</v>
      </c>
      <c r="L151" s="4">
        <v>0</v>
      </c>
      <c r="M151" s="4">
        <v>210</v>
      </c>
    </row>
    <row r="152" spans="1:13" x14ac:dyDescent="0.2">
      <c r="A152" s="2" t="s">
        <v>3337</v>
      </c>
      <c r="B152" s="2" t="s">
        <v>3338</v>
      </c>
      <c r="C152" s="2" t="s">
        <v>66</v>
      </c>
      <c r="D152" s="2" t="s">
        <v>52</v>
      </c>
      <c r="E152" s="2" t="s">
        <v>4128</v>
      </c>
      <c r="F152" s="5"/>
      <c r="G152" s="4">
        <v>0</v>
      </c>
      <c r="H152" s="4"/>
      <c r="I152" s="2" t="s">
        <v>29</v>
      </c>
      <c r="J152" s="2">
        <v>140</v>
      </c>
      <c r="K152" s="2">
        <v>1.5</v>
      </c>
      <c r="L152" s="2">
        <v>0</v>
      </c>
      <c r="M152" s="2">
        <v>210</v>
      </c>
    </row>
    <row r="153" spans="1:13" x14ac:dyDescent="0.2">
      <c r="A153" s="2" t="s">
        <v>681</v>
      </c>
      <c r="B153" s="2" t="s">
        <v>682</v>
      </c>
      <c r="C153" s="2" t="s">
        <v>592</v>
      </c>
      <c r="D153" s="2" t="s">
        <v>52</v>
      </c>
      <c r="E153" s="2" t="s">
        <v>4128</v>
      </c>
      <c r="F153" s="5"/>
      <c r="G153" s="4">
        <v>0</v>
      </c>
      <c r="H153" s="4"/>
      <c r="I153" s="2" t="s">
        <v>29</v>
      </c>
      <c r="J153" s="2">
        <v>140</v>
      </c>
      <c r="K153" s="2">
        <v>1.5</v>
      </c>
      <c r="L153" s="2">
        <v>0</v>
      </c>
      <c r="M153" s="2">
        <v>210</v>
      </c>
    </row>
    <row r="154" spans="1:13" x14ac:dyDescent="0.2">
      <c r="A154" s="2" t="s">
        <v>403</v>
      </c>
      <c r="B154" s="2" t="s">
        <v>404</v>
      </c>
      <c r="C154" s="2" t="s">
        <v>54</v>
      </c>
      <c r="D154" s="2" t="s">
        <v>52</v>
      </c>
      <c r="E154" s="2" t="s">
        <v>4128</v>
      </c>
      <c r="F154" s="5">
        <v>45958</v>
      </c>
      <c r="G154" s="4">
        <v>0</v>
      </c>
      <c r="H154" s="4"/>
      <c r="I154" s="2" t="s">
        <v>29</v>
      </c>
      <c r="J154" s="2">
        <v>140</v>
      </c>
      <c r="K154" s="2">
        <v>1.5</v>
      </c>
      <c r="L154" s="2">
        <v>210</v>
      </c>
      <c r="M154" s="2">
        <v>0</v>
      </c>
    </row>
    <row r="155" spans="1:13" x14ac:dyDescent="0.2">
      <c r="A155" s="2" t="s">
        <v>3928</v>
      </c>
      <c r="B155" s="2" t="s">
        <v>3929</v>
      </c>
      <c r="C155" s="2" t="s">
        <v>19</v>
      </c>
      <c r="D155" s="2" t="s">
        <v>52</v>
      </c>
      <c r="E155" s="2" t="s">
        <v>4128</v>
      </c>
      <c r="F155" s="5"/>
      <c r="G155" s="4">
        <v>0</v>
      </c>
      <c r="H155" s="4"/>
      <c r="I155" s="2" t="s">
        <v>29</v>
      </c>
      <c r="J155" s="2">
        <v>140</v>
      </c>
      <c r="K155" s="2">
        <v>1.5</v>
      </c>
      <c r="L155" s="2">
        <v>0</v>
      </c>
      <c r="M155" s="2">
        <v>210</v>
      </c>
    </row>
    <row r="156" spans="1:13" x14ac:dyDescent="0.2">
      <c r="A156" s="2" t="s">
        <v>139</v>
      </c>
      <c r="B156" s="2" t="s">
        <v>140</v>
      </c>
      <c r="C156" s="2" t="s">
        <v>91</v>
      </c>
      <c r="D156" s="2" t="s">
        <v>52</v>
      </c>
      <c r="E156" s="2" t="s">
        <v>4128</v>
      </c>
      <c r="F156" s="5"/>
      <c r="G156" s="4">
        <v>0</v>
      </c>
      <c r="H156" s="4"/>
      <c r="I156" s="2" t="s">
        <v>29</v>
      </c>
      <c r="J156" s="2">
        <v>140</v>
      </c>
      <c r="K156" s="2">
        <v>1.5</v>
      </c>
      <c r="L156" s="2">
        <v>210</v>
      </c>
      <c r="M156" s="2">
        <v>0</v>
      </c>
    </row>
    <row r="157" spans="1:13" x14ac:dyDescent="0.2">
      <c r="A157" s="2" t="s">
        <v>3339</v>
      </c>
      <c r="B157" s="2" t="s">
        <v>3340</v>
      </c>
      <c r="C157" s="2" t="s">
        <v>66</v>
      </c>
      <c r="D157" s="2" t="s">
        <v>52</v>
      </c>
      <c r="E157" s="2" t="s">
        <v>4128</v>
      </c>
      <c r="F157" s="5"/>
      <c r="G157" s="4">
        <v>0</v>
      </c>
      <c r="H157" s="4"/>
      <c r="I157" s="2" t="s">
        <v>29</v>
      </c>
      <c r="J157" s="2">
        <v>140</v>
      </c>
      <c r="K157" s="2">
        <v>1.5</v>
      </c>
      <c r="L157" s="2">
        <v>0</v>
      </c>
      <c r="M157" s="2">
        <v>210</v>
      </c>
    </row>
    <row r="158" spans="1:13" x14ac:dyDescent="0.2">
      <c r="A158" s="2" t="s">
        <v>697</v>
      </c>
      <c r="B158" s="2" t="s">
        <v>698</v>
      </c>
      <c r="C158" s="2" t="s">
        <v>66</v>
      </c>
      <c r="D158" s="2" t="s">
        <v>52</v>
      </c>
      <c r="E158" s="2" t="s">
        <v>4128</v>
      </c>
      <c r="F158" s="5"/>
      <c r="G158" s="4">
        <v>0</v>
      </c>
      <c r="H158" s="4"/>
      <c r="I158" s="2" t="s">
        <v>29</v>
      </c>
      <c r="J158" s="2">
        <v>140</v>
      </c>
      <c r="K158" s="2">
        <v>1.5</v>
      </c>
      <c r="L158" s="2">
        <v>0</v>
      </c>
      <c r="M158" s="2">
        <v>210</v>
      </c>
    </row>
    <row r="159" spans="1:13" x14ac:dyDescent="0.2">
      <c r="A159" s="4" t="s">
        <v>677</v>
      </c>
      <c r="B159" s="4" t="s">
        <v>678</v>
      </c>
      <c r="C159" s="4" t="s">
        <v>1366</v>
      </c>
      <c r="D159" s="4" t="s">
        <v>88</v>
      </c>
      <c r="E159" s="4" t="s">
        <v>88</v>
      </c>
      <c r="F159" s="5"/>
      <c r="G159" s="4">
        <v>0</v>
      </c>
      <c r="H159" s="4"/>
      <c r="I159" s="4" t="s">
        <v>29</v>
      </c>
      <c r="J159" s="4">
        <v>140</v>
      </c>
      <c r="K159" s="4">
        <v>1.5</v>
      </c>
      <c r="L159" s="4">
        <v>0</v>
      </c>
      <c r="M159" s="4">
        <v>210</v>
      </c>
    </row>
    <row r="160" spans="1:13" x14ac:dyDescent="0.2">
      <c r="A160" s="2" t="s">
        <v>3341</v>
      </c>
      <c r="B160" s="2" t="s">
        <v>3342</v>
      </c>
      <c r="C160" s="2" t="s">
        <v>66</v>
      </c>
      <c r="D160" s="2" t="s">
        <v>52</v>
      </c>
      <c r="E160" s="2" t="s">
        <v>4128</v>
      </c>
      <c r="F160" s="5"/>
      <c r="G160" s="4">
        <v>0</v>
      </c>
      <c r="H160" s="4"/>
      <c r="I160" s="2" t="s">
        <v>29</v>
      </c>
      <c r="J160" s="2">
        <v>140</v>
      </c>
      <c r="K160" s="2">
        <v>1.5</v>
      </c>
      <c r="L160" s="2">
        <v>0</v>
      </c>
      <c r="M160" s="2">
        <v>210</v>
      </c>
    </row>
    <row r="161" spans="1:13" x14ac:dyDescent="0.2">
      <c r="A161" s="2" t="s">
        <v>1045</v>
      </c>
      <c r="B161" s="2" t="s">
        <v>1046</v>
      </c>
      <c r="C161" s="2" t="s">
        <v>66</v>
      </c>
      <c r="D161" s="2" t="s">
        <v>52</v>
      </c>
      <c r="E161" s="2" t="s">
        <v>4128</v>
      </c>
      <c r="F161" s="5"/>
      <c r="G161" s="4">
        <v>0</v>
      </c>
      <c r="H161" s="4"/>
      <c r="I161" s="2" t="s">
        <v>29</v>
      </c>
      <c r="J161" s="2">
        <v>140</v>
      </c>
      <c r="K161" s="2">
        <v>1.5</v>
      </c>
      <c r="L161" s="2">
        <v>210</v>
      </c>
      <c r="M161" s="2">
        <v>0</v>
      </c>
    </row>
    <row r="162" spans="1:13" x14ac:dyDescent="0.2">
      <c r="A162" s="2" t="s">
        <v>149</v>
      </c>
      <c r="B162" s="2" t="s">
        <v>150</v>
      </c>
      <c r="C162" s="2" t="s">
        <v>19</v>
      </c>
      <c r="D162" s="2" t="s">
        <v>52</v>
      </c>
      <c r="E162" s="2" t="s">
        <v>4128</v>
      </c>
      <c r="F162" s="5"/>
      <c r="G162" s="4">
        <v>0</v>
      </c>
      <c r="H162" s="4"/>
      <c r="I162" s="2" t="s">
        <v>29</v>
      </c>
      <c r="J162" s="2">
        <v>140</v>
      </c>
      <c r="K162" s="2">
        <v>1.5</v>
      </c>
      <c r="L162" s="2">
        <v>210</v>
      </c>
      <c r="M162" s="2">
        <v>0</v>
      </c>
    </row>
    <row r="163" spans="1:13" x14ac:dyDescent="0.2">
      <c r="A163" s="2" t="s">
        <v>1033</v>
      </c>
      <c r="B163" s="2" t="s">
        <v>1034</v>
      </c>
      <c r="C163" s="2" t="s">
        <v>66</v>
      </c>
      <c r="D163" s="2" t="s">
        <v>52</v>
      </c>
      <c r="E163" s="2" t="s">
        <v>4128</v>
      </c>
      <c r="F163" s="5"/>
      <c r="G163" s="4">
        <v>6256</v>
      </c>
      <c r="H163" s="4"/>
      <c r="I163" s="2" t="s">
        <v>29</v>
      </c>
      <c r="J163" s="2">
        <v>140</v>
      </c>
      <c r="K163" s="2">
        <v>1.5</v>
      </c>
      <c r="L163" s="2">
        <v>210</v>
      </c>
      <c r="M163" s="2">
        <v>0</v>
      </c>
    </row>
    <row r="164" spans="1:13" x14ac:dyDescent="0.2">
      <c r="A164" s="2" t="s">
        <v>3930</v>
      </c>
      <c r="B164" s="2" t="s">
        <v>3931</v>
      </c>
      <c r="C164" s="2" t="s">
        <v>66</v>
      </c>
      <c r="D164" s="2" t="s">
        <v>52</v>
      </c>
      <c r="E164" s="2" t="s">
        <v>4128</v>
      </c>
      <c r="F164" s="5"/>
      <c r="G164" s="4">
        <v>0</v>
      </c>
      <c r="H164" s="4"/>
      <c r="I164" s="2" t="s">
        <v>29</v>
      </c>
      <c r="J164" s="2">
        <v>140</v>
      </c>
      <c r="K164" s="2">
        <v>1.5</v>
      </c>
      <c r="L164" s="2">
        <v>0</v>
      </c>
      <c r="M164" s="2">
        <v>210</v>
      </c>
    </row>
    <row r="165" spans="1:13" x14ac:dyDescent="0.2">
      <c r="A165" s="2" t="s">
        <v>1027</v>
      </c>
      <c r="B165" s="2" t="s">
        <v>1028</v>
      </c>
      <c r="C165" s="2" t="s">
        <v>592</v>
      </c>
      <c r="D165" s="2" t="s">
        <v>52</v>
      </c>
      <c r="E165" s="2" t="s">
        <v>4128</v>
      </c>
      <c r="F165" s="5"/>
      <c r="G165" s="4">
        <v>0</v>
      </c>
      <c r="H165" s="4"/>
      <c r="I165" s="2" t="s">
        <v>29</v>
      </c>
      <c r="J165" s="2">
        <v>140</v>
      </c>
      <c r="K165" s="2">
        <v>1.5</v>
      </c>
      <c r="L165" s="2">
        <v>210</v>
      </c>
      <c r="M165" s="2">
        <v>0</v>
      </c>
    </row>
    <row r="166" spans="1:13" x14ac:dyDescent="0.2">
      <c r="A166" s="2" t="s">
        <v>1039</v>
      </c>
      <c r="B166" s="2" t="s">
        <v>1040</v>
      </c>
      <c r="C166" s="2" t="s">
        <v>1366</v>
      </c>
      <c r="D166" s="2" t="s">
        <v>52</v>
      </c>
      <c r="E166" s="2" t="s">
        <v>4128</v>
      </c>
      <c r="F166" s="5"/>
      <c r="G166" s="4">
        <v>0</v>
      </c>
      <c r="H166" s="4"/>
      <c r="I166" s="2" t="s">
        <v>29</v>
      </c>
      <c r="J166" s="2">
        <v>140</v>
      </c>
      <c r="K166" s="2">
        <v>1.5</v>
      </c>
      <c r="L166" s="2">
        <v>210</v>
      </c>
      <c r="M166" s="2">
        <v>0</v>
      </c>
    </row>
    <row r="167" spans="1:13" x14ac:dyDescent="0.2">
      <c r="A167" s="2" t="s">
        <v>3343</v>
      </c>
      <c r="B167" s="2" t="s">
        <v>3344</v>
      </c>
      <c r="C167" s="2" t="s">
        <v>66</v>
      </c>
      <c r="D167" s="2" t="s">
        <v>52</v>
      </c>
      <c r="E167" s="2" t="s">
        <v>4128</v>
      </c>
      <c r="F167" s="5"/>
      <c r="G167" s="4">
        <v>0</v>
      </c>
      <c r="H167" s="4"/>
      <c r="I167" s="2" t="s">
        <v>29</v>
      </c>
      <c r="J167" s="2">
        <v>140</v>
      </c>
      <c r="K167" s="2">
        <v>1.5</v>
      </c>
      <c r="L167" s="2">
        <v>0</v>
      </c>
      <c r="M167" s="2">
        <v>210</v>
      </c>
    </row>
    <row r="168" spans="1:13" x14ac:dyDescent="0.2">
      <c r="A168" s="2" t="s">
        <v>3345</v>
      </c>
      <c r="B168" s="2" t="s">
        <v>3346</v>
      </c>
      <c r="C168" s="2" t="s">
        <v>66</v>
      </c>
      <c r="D168" s="2" t="s">
        <v>52</v>
      </c>
      <c r="E168" s="2" t="s">
        <v>4128</v>
      </c>
      <c r="F168" s="5"/>
      <c r="G168" s="4">
        <v>0</v>
      </c>
      <c r="H168" s="4"/>
      <c r="I168" s="2" t="s">
        <v>29</v>
      </c>
      <c r="J168" s="2">
        <v>140</v>
      </c>
      <c r="K168" s="2">
        <v>1.5</v>
      </c>
      <c r="L168" s="2">
        <v>0</v>
      </c>
      <c r="M168" s="2">
        <v>210</v>
      </c>
    </row>
    <row r="169" spans="1:13" x14ac:dyDescent="0.2">
      <c r="A169" s="2" t="s">
        <v>689</v>
      </c>
      <c r="B169" s="2" t="s">
        <v>690</v>
      </c>
      <c r="C169" s="2" t="s">
        <v>7</v>
      </c>
      <c r="D169" s="2" t="s">
        <v>52</v>
      </c>
      <c r="E169" s="2" t="s">
        <v>4128</v>
      </c>
      <c r="F169" s="5"/>
      <c r="G169" s="4">
        <v>0</v>
      </c>
      <c r="H169" s="4"/>
      <c r="I169" s="2" t="s">
        <v>29</v>
      </c>
      <c r="J169" s="2">
        <v>140</v>
      </c>
      <c r="K169" s="2">
        <v>1.5</v>
      </c>
      <c r="L169" s="2">
        <v>0</v>
      </c>
      <c r="M169" s="2">
        <v>210</v>
      </c>
    </row>
    <row r="170" spans="1:13" x14ac:dyDescent="0.2">
      <c r="A170" s="2" t="s">
        <v>3932</v>
      </c>
      <c r="B170" s="2" t="s">
        <v>3933</v>
      </c>
      <c r="C170" s="2" t="s">
        <v>7</v>
      </c>
      <c r="D170" s="2" t="s">
        <v>52</v>
      </c>
      <c r="E170" s="2" t="s">
        <v>4128</v>
      </c>
      <c r="F170" s="5"/>
      <c r="G170" s="4">
        <v>0</v>
      </c>
      <c r="H170" s="4"/>
      <c r="I170" s="2" t="s">
        <v>29</v>
      </c>
      <c r="J170" s="2">
        <v>140</v>
      </c>
      <c r="K170" s="2">
        <v>1.5</v>
      </c>
      <c r="L170" s="2">
        <v>0</v>
      </c>
      <c r="M170" s="2">
        <v>210</v>
      </c>
    </row>
    <row r="171" spans="1:13" x14ac:dyDescent="0.2">
      <c r="A171" s="2" t="s">
        <v>3347</v>
      </c>
      <c r="B171" s="2" t="s">
        <v>3348</v>
      </c>
      <c r="C171" s="2" t="s">
        <v>592</v>
      </c>
      <c r="D171" s="2" t="s">
        <v>52</v>
      </c>
      <c r="E171" s="2" t="s">
        <v>4128</v>
      </c>
      <c r="F171" s="5"/>
      <c r="G171" s="4">
        <v>0</v>
      </c>
      <c r="H171" s="4"/>
      <c r="I171" s="2" t="s">
        <v>29</v>
      </c>
      <c r="J171" s="2">
        <v>140</v>
      </c>
      <c r="K171" s="2">
        <v>1.5</v>
      </c>
      <c r="L171" s="2">
        <v>0</v>
      </c>
      <c r="M171" s="2">
        <v>210</v>
      </c>
    </row>
    <row r="172" spans="1:13" x14ac:dyDescent="0.2">
      <c r="A172" s="2" t="s">
        <v>3349</v>
      </c>
      <c r="B172" s="2" t="s">
        <v>3350</v>
      </c>
      <c r="C172" s="2" t="s">
        <v>4125</v>
      </c>
      <c r="D172" s="2" t="s">
        <v>52</v>
      </c>
      <c r="E172" s="2" t="s">
        <v>4128</v>
      </c>
      <c r="F172" s="5"/>
      <c r="G172" s="4">
        <v>0</v>
      </c>
      <c r="H172" s="4"/>
      <c r="I172" s="2" t="s">
        <v>29</v>
      </c>
      <c r="J172" s="2">
        <v>140</v>
      </c>
      <c r="K172" s="2">
        <v>1.5</v>
      </c>
      <c r="L172" s="2">
        <v>0</v>
      </c>
      <c r="M172" s="2">
        <v>210</v>
      </c>
    </row>
    <row r="173" spans="1:13" x14ac:dyDescent="0.2">
      <c r="A173" s="2" t="s">
        <v>719</v>
      </c>
      <c r="B173" s="2" t="s">
        <v>720</v>
      </c>
      <c r="C173" s="2" t="s">
        <v>592</v>
      </c>
      <c r="D173" s="2" t="s">
        <v>52</v>
      </c>
      <c r="E173" s="2" t="s">
        <v>4128</v>
      </c>
      <c r="F173" s="5"/>
      <c r="G173" s="4">
        <v>0</v>
      </c>
      <c r="H173" s="4"/>
      <c r="I173" s="2" t="s">
        <v>29</v>
      </c>
      <c r="J173" s="2">
        <v>140</v>
      </c>
      <c r="K173" s="2">
        <v>1.5</v>
      </c>
      <c r="L173" s="2">
        <v>0</v>
      </c>
      <c r="M173" s="2">
        <v>210</v>
      </c>
    </row>
    <row r="174" spans="1:13" x14ac:dyDescent="0.2">
      <c r="A174" s="2" t="s">
        <v>3934</v>
      </c>
      <c r="B174" s="2" t="s">
        <v>3935</v>
      </c>
      <c r="C174" s="2" t="s">
        <v>592</v>
      </c>
      <c r="D174" s="2" t="s">
        <v>52</v>
      </c>
      <c r="E174" s="2" t="s">
        <v>4128</v>
      </c>
      <c r="F174" s="5"/>
      <c r="G174" s="4">
        <v>0</v>
      </c>
      <c r="H174" s="4"/>
      <c r="I174" s="2" t="s">
        <v>29</v>
      </c>
      <c r="J174" s="2">
        <v>140</v>
      </c>
      <c r="K174" s="2">
        <v>1.5</v>
      </c>
      <c r="L174" s="2">
        <v>0</v>
      </c>
      <c r="M174" s="2">
        <v>210</v>
      </c>
    </row>
    <row r="175" spans="1:13" x14ac:dyDescent="0.2">
      <c r="A175" s="2" t="s">
        <v>3351</v>
      </c>
      <c r="B175" s="2" t="s">
        <v>3352</v>
      </c>
      <c r="C175" s="2" t="s">
        <v>4125</v>
      </c>
      <c r="D175" s="2" t="s">
        <v>52</v>
      </c>
      <c r="E175" s="2" t="s">
        <v>4128</v>
      </c>
      <c r="F175" s="5"/>
      <c r="G175" s="4">
        <v>0</v>
      </c>
      <c r="H175" s="4"/>
      <c r="I175" s="2" t="s">
        <v>29</v>
      </c>
      <c r="J175" s="2">
        <v>140</v>
      </c>
      <c r="K175" s="2">
        <v>1.5</v>
      </c>
      <c r="L175" s="2">
        <v>0</v>
      </c>
      <c r="M175" s="2">
        <v>210</v>
      </c>
    </row>
    <row r="176" spans="1:13" x14ac:dyDescent="0.2">
      <c r="A176" s="2" t="s">
        <v>3353</v>
      </c>
      <c r="B176" s="2" t="s">
        <v>3354</v>
      </c>
      <c r="C176" s="2" t="s">
        <v>4125</v>
      </c>
      <c r="D176" s="2" t="s">
        <v>52</v>
      </c>
      <c r="E176" s="2" t="s">
        <v>4128</v>
      </c>
      <c r="F176" s="5"/>
      <c r="G176" s="4">
        <v>0</v>
      </c>
      <c r="H176" s="4"/>
      <c r="I176" s="2" t="s">
        <v>29</v>
      </c>
      <c r="J176" s="2">
        <v>140</v>
      </c>
      <c r="K176" s="2">
        <v>1.5</v>
      </c>
      <c r="L176" s="2">
        <v>0</v>
      </c>
      <c r="M176" s="2">
        <v>210</v>
      </c>
    </row>
    <row r="177" spans="1:13" x14ac:dyDescent="0.2">
      <c r="A177" s="2" t="s">
        <v>3355</v>
      </c>
      <c r="B177" s="2" t="s">
        <v>3356</v>
      </c>
      <c r="C177" s="2" t="s">
        <v>66</v>
      </c>
      <c r="D177" s="2" t="s">
        <v>52</v>
      </c>
      <c r="E177" s="2" t="s">
        <v>4128</v>
      </c>
      <c r="F177" s="5"/>
      <c r="G177" s="4">
        <v>0</v>
      </c>
      <c r="H177" s="4"/>
      <c r="I177" s="2" t="s">
        <v>29</v>
      </c>
      <c r="J177" s="2">
        <v>140</v>
      </c>
      <c r="K177" s="2">
        <v>1.5</v>
      </c>
      <c r="L177" s="2">
        <v>0</v>
      </c>
      <c r="M177" s="2">
        <v>210</v>
      </c>
    </row>
    <row r="178" spans="1:13" x14ac:dyDescent="0.2">
      <c r="A178" s="2" t="s">
        <v>159</v>
      </c>
      <c r="B178" s="2" t="s">
        <v>160</v>
      </c>
      <c r="C178" s="2" t="s">
        <v>94</v>
      </c>
      <c r="D178" s="2" t="s">
        <v>52</v>
      </c>
      <c r="E178" s="2" t="s">
        <v>4128</v>
      </c>
      <c r="F178" s="5"/>
      <c r="G178" s="4">
        <v>0</v>
      </c>
      <c r="H178" s="4"/>
      <c r="I178" s="2" t="s">
        <v>29</v>
      </c>
      <c r="J178" s="2">
        <v>140</v>
      </c>
      <c r="K178" s="2">
        <v>1.5</v>
      </c>
      <c r="L178" s="2">
        <v>210</v>
      </c>
      <c r="M178" s="2">
        <v>0</v>
      </c>
    </row>
    <row r="179" spans="1:13" x14ac:dyDescent="0.2">
      <c r="A179" s="2" t="s">
        <v>3357</v>
      </c>
      <c r="B179" s="2" t="s">
        <v>3358</v>
      </c>
      <c r="C179" s="2" t="s">
        <v>4125</v>
      </c>
      <c r="D179" s="2" t="s">
        <v>52</v>
      </c>
      <c r="E179" s="2" t="s">
        <v>4128</v>
      </c>
      <c r="F179" s="5"/>
      <c r="G179" s="4">
        <v>0</v>
      </c>
      <c r="H179" s="4"/>
      <c r="I179" s="2" t="s">
        <v>29</v>
      </c>
      <c r="J179" s="2">
        <v>140</v>
      </c>
      <c r="K179" s="2">
        <v>1.5</v>
      </c>
      <c r="L179" s="2">
        <v>0</v>
      </c>
      <c r="M179" s="2">
        <v>210</v>
      </c>
    </row>
    <row r="180" spans="1:13" x14ac:dyDescent="0.2">
      <c r="A180" s="2" t="s">
        <v>167</v>
      </c>
      <c r="B180" s="2" t="s">
        <v>168</v>
      </c>
      <c r="C180" s="2" t="s">
        <v>7</v>
      </c>
      <c r="D180" s="2" t="s">
        <v>52</v>
      </c>
      <c r="E180" s="2" t="s">
        <v>4128</v>
      </c>
      <c r="F180" s="5"/>
      <c r="G180" s="4">
        <v>0</v>
      </c>
      <c r="H180" s="4"/>
      <c r="I180" s="2" t="s">
        <v>29</v>
      </c>
      <c r="J180" s="2">
        <v>140</v>
      </c>
      <c r="K180" s="2">
        <v>1.5</v>
      </c>
      <c r="L180" s="2">
        <v>345</v>
      </c>
      <c r="M180" s="2">
        <v>0</v>
      </c>
    </row>
    <row r="181" spans="1:13" x14ac:dyDescent="0.2">
      <c r="A181" s="2" t="s">
        <v>3359</v>
      </c>
      <c r="B181" s="2" t="s">
        <v>3360</v>
      </c>
      <c r="C181" s="2" t="s">
        <v>592</v>
      </c>
      <c r="D181" s="2" t="s">
        <v>52</v>
      </c>
      <c r="E181" s="2" t="s">
        <v>4128</v>
      </c>
      <c r="F181" s="5"/>
      <c r="G181" s="4">
        <v>0</v>
      </c>
      <c r="H181" s="4"/>
      <c r="I181" s="2" t="s">
        <v>29</v>
      </c>
      <c r="J181" s="2">
        <v>140</v>
      </c>
      <c r="K181" s="2">
        <v>1.5</v>
      </c>
      <c r="L181" s="2">
        <v>0</v>
      </c>
      <c r="M181" s="2">
        <v>210</v>
      </c>
    </row>
    <row r="182" spans="1:13" x14ac:dyDescent="0.2">
      <c r="A182" s="2" t="s">
        <v>3361</v>
      </c>
      <c r="B182" s="2" t="s">
        <v>3362</v>
      </c>
      <c r="C182" s="2" t="s">
        <v>4126</v>
      </c>
      <c r="D182" s="2" t="s">
        <v>52</v>
      </c>
      <c r="E182" s="2" t="s">
        <v>4128</v>
      </c>
      <c r="F182" s="5"/>
      <c r="G182" s="4">
        <v>0</v>
      </c>
      <c r="H182" s="4"/>
      <c r="I182" s="2" t="s">
        <v>29</v>
      </c>
      <c r="J182" s="2">
        <v>140</v>
      </c>
      <c r="K182" s="2">
        <v>1.5</v>
      </c>
      <c r="L182" s="2">
        <v>0</v>
      </c>
      <c r="M182" s="2">
        <v>210</v>
      </c>
    </row>
    <row r="183" spans="1:13" x14ac:dyDescent="0.2">
      <c r="A183" s="2" t="s">
        <v>725</v>
      </c>
      <c r="B183" s="2" t="s">
        <v>726</v>
      </c>
      <c r="C183" s="2" t="s">
        <v>1366</v>
      </c>
      <c r="D183" s="2" t="s">
        <v>52</v>
      </c>
      <c r="E183" s="2" t="s">
        <v>4128</v>
      </c>
      <c r="F183" s="5"/>
      <c r="G183" s="4">
        <v>0</v>
      </c>
      <c r="H183" s="4"/>
      <c r="I183" s="2" t="s">
        <v>29</v>
      </c>
      <c r="J183" s="2">
        <v>140</v>
      </c>
      <c r="K183" s="2">
        <v>1.5</v>
      </c>
      <c r="L183" s="2">
        <v>0</v>
      </c>
      <c r="M183" s="2">
        <v>210</v>
      </c>
    </row>
    <row r="184" spans="1:13" x14ac:dyDescent="0.2">
      <c r="A184" s="2" t="s">
        <v>3363</v>
      </c>
      <c r="B184" s="2" t="s">
        <v>3364</v>
      </c>
      <c r="C184" s="2" t="s">
        <v>4125</v>
      </c>
      <c r="D184" s="2" t="s">
        <v>52</v>
      </c>
      <c r="E184" s="2" t="s">
        <v>4128</v>
      </c>
      <c r="F184" s="5"/>
      <c r="G184" s="4">
        <v>0</v>
      </c>
      <c r="H184" s="4"/>
      <c r="I184" s="2" t="s">
        <v>29</v>
      </c>
      <c r="J184" s="2">
        <v>140</v>
      </c>
      <c r="K184" s="2">
        <v>1.5</v>
      </c>
      <c r="L184" s="2">
        <v>0</v>
      </c>
      <c r="M184" s="2">
        <v>210</v>
      </c>
    </row>
    <row r="185" spans="1:13" x14ac:dyDescent="0.2">
      <c r="A185" s="2" t="s">
        <v>1061</v>
      </c>
      <c r="B185" s="2" t="s">
        <v>1062</v>
      </c>
      <c r="C185" s="2" t="s">
        <v>91</v>
      </c>
      <c r="D185" s="2" t="s">
        <v>52</v>
      </c>
      <c r="E185" s="2" t="s">
        <v>4128</v>
      </c>
      <c r="F185" s="5"/>
      <c r="G185" s="4">
        <v>0</v>
      </c>
      <c r="H185" s="4"/>
      <c r="I185" s="2" t="s">
        <v>29</v>
      </c>
      <c r="J185" s="2">
        <v>140</v>
      </c>
      <c r="K185" s="2">
        <v>1.5</v>
      </c>
      <c r="L185" s="2">
        <v>210</v>
      </c>
      <c r="M185" s="2">
        <v>0</v>
      </c>
    </row>
    <row r="186" spans="1:13" x14ac:dyDescent="0.2">
      <c r="A186" s="2" t="s">
        <v>1057</v>
      </c>
      <c r="B186" s="2" t="s">
        <v>1058</v>
      </c>
      <c r="C186" s="2" t="s">
        <v>4125</v>
      </c>
      <c r="D186" s="2" t="s">
        <v>52</v>
      </c>
      <c r="E186" s="2" t="s">
        <v>4128</v>
      </c>
      <c r="F186" s="5"/>
      <c r="G186" s="4">
        <v>0</v>
      </c>
      <c r="H186" s="4"/>
      <c r="I186" s="2" t="s">
        <v>29</v>
      </c>
      <c r="J186" s="2">
        <v>140</v>
      </c>
      <c r="K186" s="2">
        <v>1.5</v>
      </c>
      <c r="L186" s="2">
        <v>210</v>
      </c>
      <c r="M186" s="2">
        <v>0</v>
      </c>
    </row>
    <row r="187" spans="1:13" x14ac:dyDescent="0.2">
      <c r="A187" s="2" t="s">
        <v>3936</v>
      </c>
      <c r="B187" s="2" t="s">
        <v>3937</v>
      </c>
      <c r="C187" s="2" t="s">
        <v>66</v>
      </c>
      <c r="D187" s="2" t="s">
        <v>52</v>
      </c>
      <c r="E187" s="2" t="s">
        <v>4128</v>
      </c>
      <c r="F187" s="5"/>
      <c r="G187" s="4">
        <v>0</v>
      </c>
      <c r="H187" s="4"/>
      <c r="I187" s="2" t="s">
        <v>29</v>
      </c>
      <c r="J187" s="2">
        <v>140</v>
      </c>
      <c r="K187" s="2">
        <v>1.5</v>
      </c>
      <c r="L187" s="2">
        <v>0</v>
      </c>
      <c r="M187" s="2">
        <v>210</v>
      </c>
    </row>
    <row r="188" spans="1:13" x14ac:dyDescent="0.2">
      <c r="A188" s="2" t="s">
        <v>3365</v>
      </c>
      <c r="B188" s="2" t="s">
        <v>3366</v>
      </c>
      <c r="C188" s="2" t="s">
        <v>4125</v>
      </c>
      <c r="D188" s="2" t="s">
        <v>52</v>
      </c>
      <c r="E188" s="2" t="s">
        <v>4128</v>
      </c>
      <c r="F188" s="5"/>
      <c r="G188" s="4">
        <v>0</v>
      </c>
      <c r="H188" s="4"/>
      <c r="I188" s="2" t="s">
        <v>29</v>
      </c>
      <c r="J188" s="2">
        <v>140</v>
      </c>
      <c r="K188" s="2">
        <v>1.5</v>
      </c>
      <c r="L188" s="2">
        <v>0</v>
      </c>
      <c r="M188" s="2">
        <v>210</v>
      </c>
    </row>
    <row r="189" spans="1:13" x14ac:dyDescent="0.2">
      <c r="A189" s="2" t="s">
        <v>3938</v>
      </c>
      <c r="B189" s="2" t="s">
        <v>3939</v>
      </c>
      <c r="C189" s="2" t="s">
        <v>91</v>
      </c>
      <c r="D189" s="2" t="s">
        <v>52</v>
      </c>
      <c r="E189" s="2" t="s">
        <v>4128</v>
      </c>
      <c r="F189" s="5"/>
      <c r="G189" s="4">
        <v>0</v>
      </c>
      <c r="H189" s="4"/>
      <c r="I189" s="2" t="s">
        <v>29</v>
      </c>
      <c r="J189" s="2">
        <v>140</v>
      </c>
      <c r="K189" s="2">
        <v>1.5</v>
      </c>
      <c r="L189" s="2">
        <v>0</v>
      </c>
      <c r="M189" s="2">
        <v>210</v>
      </c>
    </row>
    <row r="190" spans="1:13" x14ac:dyDescent="0.2">
      <c r="A190" s="2" t="s">
        <v>1293</v>
      </c>
      <c r="B190" s="2" t="s">
        <v>1294</v>
      </c>
      <c r="C190" s="2" t="s">
        <v>91</v>
      </c>
      <c r="D190" s="2" t="s">
        <v>52</v>
      </c>
      <c r="E190" s="2" t="s">
        <v>4128</v>
      </c>
      <c r="F190" s="5"/>
      <c r="G190" s="4">
        <v>0</v>
      </c>
      <c r="H190" s="4"/>
      <c r="I190" s="2" t="s">
        <v>29</v>
      </c>
      <c r="J190" s="2">
        <v>140</v>
      </c>
      <c r="K190" s="2">
        <v>1.5</v>
      </c>
      <c r="L190" s="2">
        <v>600</v>
      </c>
      <c r="M190" s="2">
        <v>0</v>
      </c>
    </row>
    <row r="191" spans="1:13" x14ac:dyDescent="0.2">
      <c r="A191" s="2" t="s">
        <v>1047</v>
      </c>
      <c r="B191" s="2" t="s">
        <v>1048</v>
      </c>
      <c r="C191" s="2" t="s">
        <v>94</v>
      </c>
      <c r="D191" s="2" t="s">
        <v>52</v>
      </c>
      <c r="E191" s="2" t="s">
        <v>4128</v>
      </c>
      <c r="F191" s="5"/>
      <c r="G191" s="4">
        <v>0</v>
      </c>
      <c r="H191" s="4"/>
      <c r="I191" s="2" t="s">
        <v>29</v>
      </c>
      <c r="J191" s="2">
        <v>140</v>
      </c>
      <c r="K191" s="2">
        <v>1.5</v>
      </c>
      <c r="L191" s="2">
        <v>210</v>
      </c>
      <c r="M191" s="2">
        <v>0</v>
      </c>
    </row>
    <row r="192" spans="1:13" x14ac:dyDescent="0.2">
      <c r="A192" s="4" t="s">
        <v>3940</v>
      </c>
      <c r="B192" s="4" t="s">
        <v>3941</v>
      </c>
      <c r="C192" s="4" t="s">
        <v>4124</v>
      </c>
      <c r="D192" s="4" t="s">
        <v>63</v>
      </c>
      <c r="E192" s="4" t="s">
        <v>88</v>
      </c>
      <c r="F192" s="5"/>
      <c r="G192" s="4">
        <v>0</v>
      </c>
      <c r="H192" s="4"/>
      <c r="I192" s="4" t="s">
        <v>29</v>
      </c>
      <c r="J192" s="4">
        <v>140</v>
      </c>
      <c r="K192" s="4">
        <v>1.5</v>
      </c>
      <c r="L192" s="4">
        <v>0</v>
      </c>
      <c r="M192" s="4">
        <v>210</v>
      </c>
    </row>
    <row r="193" spans="1:13" x14ac:dyDescent="0.2">
      <c r="A193" s="2" t="s">
        <v>3942</v>
      </c>
      <c r="B193" s="2" t="s">
        <v>3943</v>
      </c>
      <c r="C193" s="2" t="s">
        <v>54</v>
      </c>
      <c r="D193" s="2" t="s">
        <v>52</v>
      </c>
      <c r="E193" s="2" t="s">
        <v>4128</v>
      </c>
      <c r="F193" s="5"/>
      <c r="G193" s="4">
        <v>0</v>
      </c>
      <c r="H193" s="4"/>
      <c r="I193" s="2" t="s">
        <v>29</v>
      </c>
      <c r="J193" s="2">
        <v>140</v>
      </c>
      <c r="K193" s="2">
        <v>1.5</v>
      </c>
      <c r="L193" s="2">
        <v>0</v>
      </c>
      <c r="M193" s="2">
        <v>210</v>
      </c>
    </row>
    <row r="194" spans="1:13" x14ac:dyDescent="0.2">
      <c r="A194" s="2" t="s">
        <v>411</v>
      </c>
      <c r="B194" s="2" t="s">
        <v>412</v>
      </c>
      <c r="C194" s="2" t="s">
        <v>54</v>
      </c>
      <c r="D194" s="2" t="s">
        <v>52</v>
      </c>
      <c r="E194" s="2" t="s">
        <v>4128</v>
      </c>
      <c r="F194" s="5"/>
      <c r="G194" s="4">
        <v>0</v>
      </c>
      <c r="H194" s="4"/>
      <c r="I194" s="2" t="s">
        <v>29</v>
      </c>
      <c r="J194" s="2">
        <v>140</v>
      </c>
      <c r="K194" s="2">
        <v>1.5</v>
      </c>
      <c r="L194" s="2">
        <v>210</v>
      </c>
      <c r="M194" s="2">
        <v>0</v>
      </c>
    </row>
    <row r="195" spans="1:13" x14ac:dyDescent="0.2">
      <c r="A195" s="2" t="s">
        <v>3944</v>
      </c>
      <c r="B195" s="2" t="s">
        <v>3945</v>
      </c>
      <c r="C195" s="2" t="s">
        <v>1366</v>
      </c>
      <c r="D195" s="2" t="s">
        <v>52</v>
      </c>
      <c r="E195" s="2" t="s">
        <v>4128</v>
      </c>
      <c r="F195" s="5"/>
      <c r="G195" s="4">
        <v>0</v>
      </c>
      <c r="H195" s="4"/>
      <c r="I195" s="2" t="s">
        <v>29</v>
      </c>
      <c r="J195" s="2">
        <v>140</v>
      </c>
      <c r="K195" s="2">
        <v>1.5</v>
      </c>
      <c r="L195" s="2">
        <v>345</v>
      </c>
      <c r="M195" s="2">
        <v>0</v>
      </c>
    </row>
    <row r="196" spans="1:13" x14ac:dyDescent="0.2">
      <c r="A196" s="2" t="s">
        <v>741</v>
      </c>
      <c r="B196" s="2" t="s">
        <v>742</v>
      </c>
      <c r="C196" s="2" t="s">
        <v>1366</v>
      </c>
      <c r="D196" s="2" t="s">
        <v>52</v>
      </c>
      <c r="E196" s="2" t="s">
        <v>4128</v>
      </c>
      <c r="F196" s="5"/>
      <c r="G196" s="4">
        <v>0</v>
      </c>
      <c r="H196" s="4"/>
      <c r="I196" s="2" t="s">
        <v>29</v>
      </c>
      <c r="J196" s="2">
        <v>140</v>
      </c>
      <c r="K196" s="2">
        <v>1.5</v>
      </c>
      <c r="L196" s="2">
        <v>0</v>
      </c>
      <c r="M196" s="2">
        <v>210</v>
      </c>
    </row>
    <row r="197" spans="1:13" x14ac:dyDescent="0.2">
      <c r="A197" s="2" t="s">
        <v>3367</v>
      </c>
      <c r="B197" s="2" t="s">
        <v>93</v>
      </c>
      <c r="C197" s="2" t="s">
        <v>1366</v>
      </c>
      <c r="D197" s="2" t="s">
        <v>52</v>
      </c>
      <c r="E197" s="2" t="s">
        <v>4128</v>
      </c>
      <c r="F197" s="5"/>
      <c r="G197" s="4">
        <v>0</v>
      </c>
      <c r="H197" s="4"/>
      <c r="I197" s="2" t="s">
        <v>29</v>
      </c>
      <c r="J197" s="2">
        <v>140</v>
      </c>
      <c r="K197" s="2">
        <v>1.5</v>
      </c>
      <c r="L197" s="2">
        <v>0</v>
      </c>
      <c r="M197" s="2">
        <v>210</v>
      </c>
    </row>
    <row r="198" spans="1:13" x14ac:dyDescent="0.2">
      <c r="A198" s="2" t="s">
        <v>3368</v>
      </c>
      <c r="B198" s="2" t="s">
        <v>3369</v>
      </c>
      <c r="C198" s="2" t="s">
        <v>66</v>
      </c>
      <c r="D198" s="2" t="s">
        <v>52</v>
      </c>
      <c r="E198" s="2" t="s">
        <v>4128</v>
      </c>
      <c r="F198" s="5"/>
      <c r="G198" s="4">
        <v>0</v>
      </c>
      <c r="H198" s="4"/>
      <c r="I198" s="2" t="s">
        <v>29</v>
      </c>
      <c r="J198" s="2">
        <v>140</v>
      </c>
      <c r="K198" s="2">
        <v>1.5</v>
      </c>
      <c r="L198" s="2">
        <v>0</v>
      </c>
      <c r="M198" s="2">
        <v>210</v>
      </c>
    </row>
    <row r="199" spans="1:13" x14ac:dyDescent="0.2">
      <c r="A199" s="2" t="s">
        <v>3946</v>
      </c>
      <c r="B199" s="2" t="s">
        <v>3947</v>
      </c>
      <c r="C199" s="2" t="s">
        <v>7</v>
      </c>
      <c r="D199" s="2" t="s">
        <v>52</v>
      </c>
      <c r="E199" s="2" t="s">
        <v>4128</v>
      </c>
      <c r="F199" s="5"/>
      <c r="G199" s="4">
        <v>0</v>
      </c>
      <c r="H199" s="4"/>
      <c r="I199" s="2" t="s">
        <v>29</v>
      </c>
      <c r="J199" s="2">
        <v>140</v>
      </c>
      <c r="K199" s="2">
        <v>1.5</v>
      </c>
      <c r="L199" s="2">
        <v>210</v>
      </c>
      <c r="M199" s="2">
        <v>0</v>
      </c>
    </row>
    <row r="200" spans="1:13" x14ac:dyDescent="0.2">
      <c r="A200" s="2" t="s">
        <v>171</v>
      </c>
      <c r="B200" s="2" t="s">
        <v>172</v>
      </c>
      <c r="C200" s="2" t="s">
        <v>54</v>
      </c>
      <c r="D200" s="2" t="s">
        <v>52</v>
      </c>
      <c r="E200" s="2" t="s">
        <v>4128</v>
      </c>
      <c r="F200" s="5"/>
      <c r="G200" s="4">
        <v>0</v>
      </c>
      <c r="H200" s="4"/>
      <c r="I200" s="2" t="s">
        <v>29</v>
      </c>
      <c r="J200" s="2">
        <v>140</v>
      </c>
      <c r="K200" s="2">
        <v>1.5</v>
      </c>
      <c r="L200" s="2">
        <v>810</v>
      </c>
      <c r="M200" s="2">
        <v>0</v>
      </c>
    </row>
    <row r="201" spans="1:13" x14ac:dyDescent="0.2">
      <c r="A201" s="2" t="s">
        <v>177</v>
      </c>
      <c r="B201" s="2" t="s">
        <v>178</v>
      </c>
      <c r="C201" s="2" t="s">
        <v>54</v>
      </c>
      <c r="D201" s="2" t="s">
        <v>52</v>
      </c>
      <c r="E201" s="2" t="s">
        <v>4128</v>
      </c>
      <c r="F201" s="5"/>
      <c r="G201" s="4">
        <v>0</v>
      </c>
      <c r="H201" s="4"/>
      <c r="I201" s="2" t="s">
        <v>29</v>
      </c>
      <c r="J201" s="2">
        <v>140</v>
      </c>
      <c r="K201" s="2">
        <v>1.5</v>
      </c>
      <c r="L201" s="2">
        <v>345</v>
      </c>
      <c r="M201" s="2">
        <v>0</v>
      </c>
    </row>
    <row r="202" spans="1:13" x14ac:dyDescent="0.2">
      <c r="A202" s="2" t="s">
        <v>733</v>
      </c>
      <c r="B202" s="2" t="s">
        <v>734</v>
      </c>
      <c r="C202" s="2" t="s">
        <v>592</v>
      </c>
      <c r="D202" s="2" t="s">
        <v>52</v>
      </c>
      <c r="E202" s="2" t="s">
        <v>4128</v>
      </c>
      <c r="F202" s="5"/>
      <c r="G202" s="4">
        <v>0</v>
      </c>
      <c r="H202" s="4"/>
      <c r="I202" s="2" t="s">
        <v>29</v>
      </c>
      <c r="J202" s="2">
        <v>140</v>
      </c>
      <c r="K202" s="2">
        <v>1.5</v>
      </c>
      <c r="L202" s="2">
        <v>0</v>
      </c>
      <c r="M202" s="2">
        <v>210</v>
      </c>
    </row>
    <row r="203" spans="1:13" x14ac:dyDescent="0.2">
      <c r="A203" s="2" t="s">
        <v>739</v>
      </c>
      <c r="B203" s="2" t="s">
        <v>740</v>
      </c>
      <c r="C203" s="2" t="s">
        <v>592</v>
      </c>
      <c r="D203" s="2" t="s">
        <v>52</v>
      </c>
      <c r="E203" s="2" t="s">
        <v>4128</v>
      </c>
      <c r="F203" s="5"/>
      <c r="G203" s="4">
        <v>0</v>
      </c>
      <c r="H203" s="4"/>
      <c r="I203" s="2" t="s">
        <v>29</v>
      </c>
      <c r="J203" s="2">
        <v>140</v>
      </c>
      <c r="K203" s="2">
        <v>1.5</v>
      </c>
      <c r="L203" s="2">
        <v>0</v>
      </c>
      <c r="M203" s="2">
        <v>210</v>
      </c>
    </row>
    <row r="204" spans="1:13" x14ac:dyDescent="0.2">
      <c r="A204" s="2" t="s">
        <v>729</v>
      </c>
      <c r="B204" s="2" t="s">
        <v>730</v>
      </c>
      <c r="C204" s="2" t="s">
        <v>66</v>
      </c>
      <c r="D204" s="2" t="s">
        <v>52</v>
      </c>
      <c r="E204" s="2" t="s">
        <v>4128</v>
      </c>
      <c r="F204" s="5"/>
      <c r="G204" s="4">
        <v>0</v>
      </c>
      <c r="H204" s="4"/>
      <c r="I204" s="2" t="s">
        <v>29</v>
      </c>
      <c r="J204" s="2">
        <v>140</v>
      </c>
      <c r="K204" s="2">
        <v>1.5</v>
      </c>
      <c r="L204" s="2">
        <v>0</v>
      </c>
      <c r="M204" s="2">
        <v>210</v>
      </c>
    </row>
    <row r="205" spans="1:13" x14ac:dyDescent="0.2">
      <c r="A205" s="2" t="s">
        <v>409</v>
      </c>
      <c r="B205" s="2" t="s">
        <v>410</v>
      </c>
      <c r="C205" s="2" t="s">
        <v>94</v>
      </c>
      <c r="D205" s="2" t="s">
        <v>52</v>
      </c>
      <c r="E205" s="2" t="s">
        <v>4128</v>
      </c>
      <c r="F205" s="5"/>
      <c r="G205" s="4">
        <v>0</v>
      </c>
      <c r="H205" s="4"/>
      <c r="I205" s="2" t="s">
        <v>29</v>
      </c>
      <c r="J205" s="2">
        <v>140</v>
      </c>
      <c r="K205" s="2">
        <v>1.5</v>
      </c>
      <c r="L205" s="2">
        <v>210</v>
      </c>
      <c r="M205" s="2">
        <v>0</v>
      </c>
    </row>
    <row r="206" spans="1:13" x14ac:dyDescent="0.2">
      <c r="A206" s="2" t="s">
        <v>3370</v>
      </c>
      <c r="B206" s="2" t="s">
        <v>3371</v>
      </c>
      <c r="C206" s="2" t="s">
        <v>4126</v>
      </c>
      <c r="D206" s="2" t="s">
        <v>52</v>
      </c>
      <c r="E206" s="2" t="s">
        <v>4128</v>
      </c>
      <c r="F206" s="5"/>
      <c r="G206" s="4">
        <v>0</v>
      </c>
      <c r="H206" s="4"/>
      <c r="I206" s="2" t="s">
        <v>29</v>
      </c>
      <c r="J206" s="2">
        <v>140</v>
      </c>
      <c r="K206" s="2">
        <v>1.5</v>
      </c>
      <c r="L206" s="2">
        <v>0</v>
      </c>
      <c r="M206" s="2">
        <v>210</v>
      </c>
    </row>
    <row r="207" spans="1:13" x14ac:dyDescent="0.2">
      <c r="A207" s="2" t="s">
        <v>765</v>
      </c>
      <c r="B207" s="2" t="s">
        <v>766</v>
      </c>
      <c r="C207" s="2" t="s">
        <v>66</v>
      </c>
      <c r="D207" s="2" t="s">
        <v>52</v>
      </c>
      <c r="E207" s="2" t="s">
        <v>4128</v>
      </c>
      <c r="F207" s="5"/>
      <c r="G207" s="4">
        <v>0</v>
      </c>
      <c r="H207" s="4"/>
      <c r="I207" s="2" t="s">
        <v>29</v>
      </c>
      <c r="J207" s="2">
        <v>140</v>
      </c>
      <c r="K207" s="2">
        <v>1.5</v>
      </c>
      <c r="L207" s="2">
        <v>0</v>
      </c>
      <c r="M207" s="2">
        <v>210</v>
      </c>
    </row>
    <row r="208" spans="1:13" x14ac:dyDescent="0.2">
      <c r="A208" s="2" t="s">
        <v>749</v>
      </c>
      <c r="B208" s="2" t="s">
        <v>750</v>
      </c>
      <c r="C208" s="2" t="s">
        <v>592</v>
      </c>
      <c r="D208" s="2" t="s">
        <v>52</v>
      </c>
      <c r="E208" s="2" t="s">
        <v>4128</v>
      </c>
      <c r="F208" s="5"/>
      <c r="G208" s="4">
        <v>0</v>
      </c>
      <c r="H208" s="4"/>
      <c r="I208" s="2" t="s">
        <v>29</v>
      </c>
      <c r="J208" s="2">
        <v>140</v>
      </c>
      <c r="K208" s="2">
        <v>1.5</v>
      </c>
      <c r="L208" s="2">
        <v>0</v>
      </c>
      <c r="M208" s="2">
        <v>210</v>
      </c>
    </row>
    <row r="209" spans="1:13" x14ac:dyDescent="0.2">
      <c r="A209" s="2" t="s">
        <v>747</v>
      </c>
      <c r="B209" s="2" t="s">
        <v>748</v>
      </c>
      <c r="C209" s="2" t="s">
        <v>94</v>
      </c>
      <c r="D209" s="2" t="s">
        <v>52</v>
      </c>
      <c r="E209" s="2" t="s">
        <v>4128</v>
      </c>
      <c r="F209" s="5"/>
      <c r="G209" s="4">
        <v>0</v>
      </c>
      <c r="H209" s="4"/>
      <c r="I209" s="2" t="s">
        <v>29</v>
      </c>
      <c r="J209" s="2">
        <v>140</v>
      </c>
      <c r="K209" s="2">
        <v>1.5</v>
      </c>
      <c r="L209" s="2">
        <v>0</v>
      </c>
      <c r="M209" s="2">
        <v>210</v>
      </c>
    </row>
    <row r="210" spans="1:13" x14ac:dyDescent="0.2">
      <c r="A210" s="2" t="s">
        <v>755</v>
      </c>
      <c r="B210" s="2" t="s">
        <v>756</v>
      </c>
      <c r="C210" s="2" t="s">
        <v>94</v>
      </c>
      <c r="D210" s="2" t="s">
        <v>52</v>
      </c>
      <c r="E210" s="2" t="s">
        <v>4128</v>
      </c>
      <c r="F210" s="5"/>
      <c r="G210" s="4">
        <v>0</v>
      </c>
      <c r="H210" s="4"/>
      <c r="I210" s="2" t="s">
        <v>29</v>
      </c>
      <c r="J210" s="2">
        <v>140</v>
      </c>
      <c r="K210" s="2">
        <v>1.5</v>
      </c>
      <c r="L210" s="2">
        <v>0</v>
      </c>
      <c r="M210" s="2">
        <v>210</v>
      </c>
    </row>
    <row r="211" spans="1:13" x14ac:dyDescent="0.2">
      <c r="A211" s="2" t="s">
        <v>3372</v>
      </c>
      <c r="B211" s="2" t="s">
        <v>3373</v>
      </c>
      <c r="C211" s="2" t="s">
        <v>592</v>
      </c>
      <c r="D211" s="2" t="s">
        <v>52</v>
      </c>
      <c r="E211" s="2" t="s">
        <v>4128</v>
      </c>
      <c r="F211" s="5"/>
      <c r="G211" s="4">
        <v>0</v>
      </c>
      <c r="H211" s="4"/>
      <c r="I211" s="2" t="s">
        <v>29</v>
      </c>
      <c r="J211" s="2">
        <v>140</v>
      </c>
      <c r="K211" s="2">
        <v>1.5</v>
      </c>
      <c r="L211" s="2">
        <v>0</v>
      </c>
      <c r="M211" s="2">
        <v>210</v>
      </c>
    </row>
    <row r="212" spans="1:13" x14ac:dyDescent="0.2">
      <c r="A212" s="2" t="s">
        <v>3374</v>
      </c>
      <c r="B212" s="2" t="s">
        <v>3375</v>
      </c>
      <c r="C212" s="2" t="s">
        <v>94</v>
      </c>
      <c r="D212" s="2" t="s">
        <v>52</v>
      </c>
      <c r="E212" s="2" t="s">
        <v>4128</v>
      </c>
      <c r="F212" s="5"/>
      <c r="G212" s="4">
        <v>0</v>
      </c>
      <c r="H212" s="4"/>
      <c r="I212" s="2" t="s">
        <v>29</v>
      </c>
      <c r="J212" s="2">
        <v>140</v>
      </c>
      <c r="K212" s="2">
        <v>1.5</v>
      </c>
      <c r="L212" s="2">
        <v>0</v>
      </c>
      <c r="M212" s="2">
        <v>210</v>
      </c>
    </row>
    <row r="213" spans="1:13" x14ac:dyDescent="0.2">
      <c r="A213" s="2" t="s">
        <v>1067</v>
      </c>
      <c r="B213" s="2" t="s">
        <v>1068</v>
      </c>
      <c r="C213" s="2" t="s">
        <v>91</v>
      </c>
      <c r="D213" s="2" t="s">
        <v>52</v>
      </c>
      <c r="E213" s="2" t="s">
        <v>4128</v>
      </c>
      <c r="F213" s="5"/>
      <c r="G213" s="4">
        <v>0</v>
      </c>
      <c r="H213" s="4"/>
      <c r="I213" s="2" t="s">
        <v>29</v>
      </c>
      <c r="J213" s="2">
        <v>140</v>
      </c>
      <c r="K213" s="2">
        <v>1.5</v>
      </c>
      <c r="L213" s="2">
        <v>210</v>
      </c>
      <c r="M213" s="2">
        <v>0</v>
      </c>
    </row>
    <row r="214" spans="1:13" x14ac:dyDescent="0.2">
      <c r="A214" s="2" t="s">
        <v>1065</v>
      </c>
      <c r="B214" s="2" t="s">
        <v>1066</v>
      </c>
      <c r="C214" s="2" t="s">
        <v>54</v>
      </c>
      <c r="D214" s="2" t="s">
        <v>52</v>
      </c>
      <c r="E214" s="2" t="s">
        <v>4128</v>
      </c>
      <c r="F214" s="5"/>
      <c r="G214" s="4">
        <v>0</v>
      </c>
      <c r="H214" s="4"/>
      <c r="I214" s="2" t="s">
        <v>29</v>
      </c>
      <c r="J214" s="2">
        <v>140</v>
      </c>
      <c r="K214" s="2">
        <v>1.5</v>
      </c>
      <c r="L214" s="2">
        <v>210</v>
      </c>
      <c r="M214" s="2">
        <v>0</v>
      </c>
    </row>
    <row r="215" spans="1:13" x14ac:dyDescent="0.2">
      <c r="A215" s="2" t="s">
        <v>1339</v>
      </c>
      <c r="B215" s="2" t="s">
        <v>1340</v>
      </c>
      <c r="C215" s="2" t="s">
        <v>94</v>
      </c>
      <c r="D215" s="2" t="s">
        <v>52</v>
      </c>
      <c r="E215" s="2" t="s">
        <v>4128</v>
      </c>
      <c r="F215" s="5"/>
      <c r="G215" s="4">
        <v>0</v>
      </c>
      <c r="H215" s="4"/>
      <c r="I215" s="2" t="s">
        <v>29</v>
      </c>
      <c r="J215" s="2">
        <v>140</v>
      </c>
      <c r="K215" s="2">
        <v>1.5</v>
      </c>
      <c r="L215" s="2">
        <v>810</v>
      </c>
      <c r="M215" s="2">
        <v>0</v>
      </c>
    </row>
    <row r="216" spans="1:13" x14ac:dyDescent="0.2">
      <c r="A216" s="2" t="s">
        <v>3376</v>
      </c>
      <c r="B216" s="2" t="s">
        <v>3377</v>
      </c>
      <c r="C216" s="2" t="s">
        <v>94</v>
      </c>
      <c r="D216" s="2" t="s">
        <v>52</v>
      </c>
      <c r="E216" s="2" t="s">
        <v>4128</v>
      </c>
      <c r="F216" s="5"/>
      <c r="G216" s="4">
        <v>0</v>
      </c>
      <c r="H216" s="4"/>
      <c r="I216" s="2" t="s">
        <v>29</v>
      </c>
      <c r="J216" s="2">
        <v>140</v>
      </c>
      <c r="K216" s="2">
        <v>1.5</v>
      </c>
      <c r="L216" s="2">
        <v>0</v>
      </c>
      <c r="M216" s="2">
        <v>210</v>
      </c>
    </row>
    <row r="217" spans="1:13" x14ac:dyDescent="0.2">
      <c r="A217" s="2" t="s">
        <v>3378</v>
      </c>
      <c r="B217" s="2" t="s">
        <v>3379</v>
      </c>
      <c r="C217" s="2" t="s">
        <v>94</v>
      </c>
      <c r="D217" s="2" t="s">
        <v>52</v>
      </c>
      <c r="E217" s="2" t="s">
        <v>4128</v>
      </c>
      <c r="F217" s="5"/>
      <c r="G217" s="4">
        <v>0</v>
      </c>
      <c r="H217" s="4"/>
      <c r="I217" s="2" t="s">
        <v>29</v>
      </c>
      <c r="J217" s="2">
        <v>140</v>
      </c>
      <c r="K217" s="2">
        <v>1.5</v>
      </c>
      <c r="L217" s="2">
        <v>0</v>
      </c>
      <c r="M217" s="2">
        <v>210</v>
      </c>
    </row>
    <row r="218" spans="1:13" x14ac:dyDescent="0.2">
      <c r="A218" s="2" t="s">
        <v>769</v>
      </c>
      <c r="B218" s="2" t="s">
        <v>770</v>
      </c>
      <c r="C218" s="2" t="s">
        <v>91</v>
      </c>
      <c r="D218" s="2" t="s">
        <v>52</v>
      </c>
      <c r="E218" s="2" t="s">
        <v>4128</v>
      </c>
      <c r="F218" s="5"/>
      <c r="G218" s="4">
        <v>0</v>
      </c>
      <c r="H218" s="4"/>
      <c r="I218" s="2" t="s">
        <v>29</v>
      </c>
      <c r="J218" s="2">
        <v>140</v>
      </c>
      <c r="K218" s="2">
        <v>1.5</v>
      </c>
      <c r="L218" s="2">
        <v>0</v>
      </c>
      <c r="M218" s="2">
        <v>210</v>
      </c>
    </row>
    <row r="219" spans="1:13" x14ac:dyDescent="0.2">
      <c r="A219" s="2" t="s">
        <v>751</v>
      </c>
      <c r="B219" s="2" t="s">
        <v>752</v>
      </c>
      <c r="C219" s="2" t="s">
        <v>94</v>
      </c>
      <c r="D219" s="2" t="s">
        <v>52</v>
      </c>
      <c r="E219" s="2" t="s">
        <v>4128</v>
      </c>
      <c r="F219" s="5"/>
      <c r="G219" s="4">
        <v>0</v>
      </c>
      <c r="H219" s="4"/>
      <c r="I219" s="2" t="s">
        <v>29</v>
      </c>
      <c r="J219" s="2">
        <v>140</v>
      </c>
      <c r="K219" s="2">
        <v>1.5</v>
      </c>
      <c r="L219" s="2">
        <v>0</v>
      </c>
      <c r="M219" s="2">
        <v>210</v>
      </c>
    </row>
    <row r="220" spans="1:13" x14ac:dyDescent="0.2">
      <c r="A220" s="2" t="s">
        <v>3380</v>
      </c>
      <c r="B220" s="2" t="s">
        <v>3381</v>
      </c>
      <c r="C220" s="2" t="s">
        <v>94</v>
      </c>
      <c r="D220" s="2" t="s">
        <v>52</v>
      </c>
      <c r="E220" s="2" t="s">
        <v>4128</v>
      </c>
      <c r="F220" s="5"/>
      <c r="G220" s="4">
        <v>0</v>
      </c>
      <c r="H220" s="4"/>
      <c r="I220" s="2" t="s">
        <v>29</v>
      </c>
      <c r="J220" s="2">
        <v>140</v>
      </c>
      <c r="K220" s="2">
        <v>1.5</v>
      </c>
      <c r="L220" s="2">
        <v>0</v>
      </c>
      <c r="M220" s="2">
        <v>210</v>
      </c>
    </row>
    <row r="221" spans="1:13" x14ac:dyDescent="0.2">
      <c r="A221" s="2" t="s">
        <v>3382</v>
      </c>
      <c r="B221" s="2" t="s">
        <v>3383</v>
      </c>
      <c r="C221" s="2" t="s">
        <v>94</v>
      </c>
      <c r="D221" s="2" t="s">
        <v>52</v>
      </c>
      <c r="E221" s="2" t="s">
        <v>4128</v>
      </c>
      <c r="F221" s="5"/>
      <c r="G221" s="4">
        <v>0</v>
      </c>
      <c r="H221" s="4"/>
      <c r="I221" s="2" t="s">
        <v>29</v>
      </c>
      <c r="J221" s="2">
        <v>140</v>
      </c>
      <c r="K221" s="2">
        <v>1.5</v>
      </c>
      <c r="L221" s="2">
        <v>0</v>
      </c>
      <c r="M221" s="2">
        <v>210</v>
      </c>
    </row>
    <row r="222" spans="1:13" x14ac:dyDescent="0.2">
      <c r="A222" s="2" t="s">
        <v>771</v>
      </c>
      <c r="B222" s="2" t="s">
        <v>772</v>
      </c>
      <c r="C222" s="2" t="s">
        <v>94</v>
      </c>
      <c r="D222" s="2" t="s">
        <v>52</v>
      </c>
      <c r="E222" s="2" t="s">
        <v>4128</v>
      </c>
      <c r="F222" s="5"/>
      <c r="G222" s="4">
        <v>0</v>
      </c>
      <c r="H222" s="4"/>
      <c r="I222" s="2" t="s">
        <v>29</v>
      </c>
      <c r="J222" s="2">
        <v>140</v>
      </c>
      <c r="K222" s="2">
        <v>1.5</v>
      </c>
      <c r="L222" s="2">
        <v>0</v>
      </c>
      <c r="M222" s="2">
        <v>210</v>
      </c>
    </row>
    <row r="223" spans="1:13" x14ac:dyDescent="0.2">
      <c r="A223" s="2" t="s">
        <v>753</v>
      </c>
      <c r="B223" s="2" t="s">
        <v>754</v>
      </c>
      <c r="C223" s="2" t="s">
        <v>592</v>
      </c>
      <c r="D223" s="2" t="s">
        <v>52</v>
      </c>
      <c r="E223" s="2" t="s">
        <v>4128</v>
      </c>
      <c r="F223" s="5"/>
      <c r="G223" s="4">
        <v>0</v>
      </c>
      <c r="H223" s="4"/>
      <c r="I223" s="2" t="s">
        <v>29</v>
      </c>
      <c r="J223" s="2">
        <v>140</v>
      </c>
      <c r="K223" s="2">
        <v>1.5</v>
      </c>
      <c r="L223" s="2">
        <v>0</v>
      </c>
      <c r="M223" s="2">
        <v>210</v>
      </c>
    </row>
    <row r="224" spans="1:13" x14ac:dyDescent="0.2">
      <c r="A224" s="2" t="s">
        <v>791</v>
      </c>
      <c r="B224" s="2" t="s">
        <v>792</v>
      </c>
      <c r="C224" s="2" t="s">
        <v>7</v>
      </c>
      <c r="D224" s="2" t="s">
        <v>52</v>
      </c>
      <c r="E224" s="2" t="s">
        <v>4128</v>
      </c>
      <c r="F224" s="5"/>
      <c r="G224" s="4">
        <v>0</v>
      </c>
      <c r="H224" s="4"/>
      <c r="I224" s="2" t="s">
        <v>29</v>
      </c>
      <c r="J224" s="2">
        <v>140</v>
      </c>
      <c r="K224" s="2">
        <v>1.5</v>
      </c>
      <c r="L224" s="2">
        <v>0</v>
      </c>
      <c r="M224" s="2">
        <v>210</v>
      </c>
    </row>
    <row r="225" spans="1:13" x14ac:dyDescent="0.2">
      <c r="A225" s="2" t="s">
        <v>783</v>
      </c>
      <c r="B225" s="2" t="s">
        <v>784</v>
      </c>
      <c r="C225" s="2" t="s">
        <v>7</v>
      </c>
      <c r="D225" s="2" t="s">
        <v>52</v>
      </c>
      <c r="E225" s="2" t="s">
        <v>4128</v>
      </c>
      <c r="F225" s="5"/>
      <c r="G225" s="4">
        <v>0</v>
      </c>
      <c r="H225" s="4"/>
      <c r="I225" s="2" t="s">
        <v>29</v>
      </c>
      <c r="J225" s="2">
        <v>140</v>
      </c>
      <c r="K225" s="2">
        <v>1.5</v>
      </c>
      <c r="L225" s="2">
        <v>0</v>
      </c>
      <c r="M225" s="2">
        <v>210</v>
      </c>
    </row>
    <row r="226" spans="1:13" x14ac:dyDescent="0.2">
      <c r="A226" s="2" t="s">
        <v>785</v>
      </c>
      <c r="B226" s="2" t="s">
        <v>786</v>
      </c>
      <c r="C226" s="2" t="s">
        <v>66</v>
      </c>
      <c r="D226" s="2" t="s">
        <v>52</v>
      </c>
      <c r="E226" s="2" t="s">
        <v>4128</v>
      </c>
      <c r="F226" s="5"/>
      <c r="G226" s="4">
        <v>0</v>
      </c>
      <c r="H226" s="4"/>
      <c r="I226" s="2" t="s">
        <v>29</v>
      </c>
      <c r="J226" s="2">
        <v>140</v>
      </c>
      <c r="K226" s="2">
        <v>1.5</v>
      </c>
      <c r="L226" s="2">
        <v>0</v>
      </c>
      <c r="M226" s="2">
        <v>210</v>
      </c>
    </row>
    <row r="227" spans="1:13" x14ac:dyDescent="0.2">
      <c r="A227" s="2" t="s">
        <v>3384</v>
      </c>
      <c r="B227" s="2" t="s">
        <v>3385</v>
      </c>
      <c r="C227" s="2" t="s">
        <v>592</v>
      </c>
      <c r="D227" s="2" t="s">
        <v>52</v>
      </c>
      <c r="E227" s="2" t="s">
        <v>4128</v>
      </c>
      <c r="F227" s="5"/>
      <c r="G227" s="4">
        <v>0</v>
      </c>
      <c r="H227" s="4"/>
      <c r="I227" s="2" t="s">
        <v>29</v>
      </c>
      <c r="J227" s="2">
        <v>140</v>
      </c>
      <c r="K227" s="2">
        <v>1.5</v>
      </c>
      <c r="L227" s="2">
        <v>0</v>
      </c>
      <c r="M227" s="2">
        <v>210</v>
      </c>
    </row>
    <row r="228" spans="1:13" x14ac:dyDescent="0.2">
      <c r="A228" s="2" t="s">
        <v>3948</v>
      </c>
      <c r="B228" s="2" t="s">
        <v>3949</v>
      </c>
      <c r="C228" s="2" t="s">
        <v>54</v>
      </c>
      <c r="D228" s="2" t="s">
        <v>52</v>
      </c>
      <c r="E228" s="2" t="s">
        <v>4128</v>
      </c>
      <c r="F228" s="5"/>
      <c r="G228" s="4">
        <v>0</v>
      </c>
      <c r="H228" s="4"/>
      <c r="I228" s="2" t="s">
        <v>29</v>
      </c>
      <c r="J228" s="2">
        <v>140</v>
      </c>
      <c r="K228" s="2">
        <v>1.5</v>
      </c>
      <c r="L228" s="2">
        <v>0</v>
      </c>
      <c r="M228" s="2">
        <v>210</v>
      </c>
    </row>
    <row r="229" spans="1:13" x14ac:dyDescent="0.2">
      <c r="A229" s="4" t="s">
        <v>195</v>
      </c>
      <c r="B229" s="4" t="s">
        <v>196</v>
      </c>
      <c r="C229" s="4" t="s">
        <v>4124</v>
      </c>
      <c r="D229" s="4" t="s">
        <v>52</v>
      </c>
      <c r="E229" s="4" t="s">
        <v>88</v>
      </c>
      <c r="F229" s="5"/>
      <c r="G229" s="4">
        <v>0</v>
      </c>
      <c r="H229" s="4"/>
      <c r="I229" s="4" t="s">
        <v>29</v>
      </c>
      <c r="J229" s="4">
        <v>140</v>
      </c>
      <c r="K229" s="4">
        <v>1.5</v>
      </c>
      <c r="L229" s="4">
        <v>210</v>
      </c>
      <c r="M229" s="4">
        <v>0</v>
      </c>
    </row>
    <row r="230" spans="1:13" x14ac:dyDescent="0.2">
      <c r="A230" s="2" t="s">
        <v>199</v>
      </c>
      <c r="B230" s="2" t="s">
        <v>200</v>
      </c>
      <c r="C230" s="2" t="s">
        <v>54</v>
      </c>
      <c r="D230" s="2" t="s">
        <v>52</v>
      </c>
      <c r="E230" s="2" t="s">
        <v>4128</v>
      </c>
      <c r="F230" s="5">
        <v>45915</v>
      </c>
      <c r="G230" s="4">
        <v>7200</v>
      </c>
      <c r="H230" s="4"/>
      <c r="I230" s="2" t="s">
        <v>29</v>
      </c>
      <c r="J230" s="2">
        <v>140</v>
      </c>
      <c r="K230" s="2">
        <v>1.5</v>
      </c>
      <c r="L230" s="2">
        <v>345</v>
      </c>
      <c r="M230" s="2">
        <v>0</v>
      </c>
    </row>
    <row r="231" spans="1:13" x14ac:dyDescent="0.2">
      <c r="A231" s="2" t="s">
        <v>203</v>
      </c>
      <c r="B231" s="2" t="s">
        <v>204</v>
      </c>
      <c r="C231" s="2" t="s">
        <v>54</v>
      </c>
      <c r="D231" s="2" t="s">
        <v>52</v>
      </c>
      <c r="E231" s="2" t="s">
        <v>4128</v>
      </c>
      <c r="F231" s="5"/>
      <c r="G231" s="4">
        <v>0</v>
      </c>
      <c r="H231" s="4"/>
      <c r="I231" s="2" t="s">
        <v>29</v>
      </c>
      <c r="J231" s="2">
        <v>140</v>
      </c>
      <c r="K231" s="2">
        <v>1.5</v>
      </c>
      <c r="L231" s="2">
        <v>210</v>
      </c>
      <c r="M231" s="2">
        <v>0</v>
      </c>
    </row>
    <row r="232" spans="1:13" x14ac:dyDescent="0.2">
      <c r="A232" s="2" t="s">
        <v>205</v>
      </c>
      <c r="B232" s="2" t="s">
        <v>206</v>
      </c>
      <c r="C232" s="2" t="s">
        <v>54</v>
      </c>
      <c r="D232" s="2" t="s">
        <v>52</v>
      </c>
      <c r="E232" s="2" t="s">
        <v>4128</v>
      </c>
      <c r="F232" s="5"/>
      <c r="G232" s="4">
        <v>0</v>
      </c>
      <c r="H232" s="4"/>
      <c r="I232" s="2" t="s">
        <v>29</v>
      </c>
      <c r="J232" s="2">
        <v>140</v>
      </c>
      <c r="K232" s="2">
        <v>1.5</v>
      </c>
      <c r="L232" s="2">
        <v>210</v>
      </c>
      <c r="M232" s="2">
        <v>0</v>
      </c>
    </row>
    <row r="233" spans="1:13" x14ac:dyDescent="0.2">
      <c r="A233" s="2" t="s">
        <v>1075</v>
      </c>
      <c r="B233" s="2" t="s">
        <v>1076</v>
      </c>
      <c r="C233" s="2" t="s">
        <v>66</v>
      </c>
      <c r="D233" s="2" t="s">
        <v>52</v>
      </c>
      <c r="E233" s="2" t="s">
        <v>4128</v>
      </c>
      <c r="F233" s="5"/>
      <c r="G233" s="4">
        <v>0</v>
      </c>
      <c r="H233" s="4"/>
      <c r="I233" s="2" t="s">
        <v>29</v>
      </c>
      <c r="J233" s="2">
        <v>140</v>
      </c>
      <c r="K233" s="2">
        <v>1.5</v>
      </c>
      <c r="L233" s="2">
        <v>210</v>
      </c>
      <c r="M233" s="2">
        <v>0</v>
      </c>
    </row>
    <row r="234" spans="1:13" x14ac:dyDescent="0.2">
      <c r="A234" s="2" t="s">
        <v>463</v>
      </c>
      <c r="B234" s="2" t="s">
        <v>464</v>
      </c>
      <c r="C234" s="2" t="s">
        <v>19</v>
      </c>
      <c r="D234" s="2" t="s">
        <v>52</v>
      </c>
      <c r="E234" s="2" t="s">
        <v>4128</v>
      </c>
      <c r="F234" s="5"/>
      <c r="G234" s="4">
        <v>0</v>
      </c>
      <c r="H234" s="4"/>
      <c r="I234" s="2" t="s">
        <v>29</v>
      </c>
      <c r="J234" s="2">
        <v>140</v>
      </c>
      <c r="K234" s="2">
        <v>1.5</v>
      </c>
      <c r="L234" s="2">
        <v>345</v>
      </c>
      <c r="M234" s="2">
        <v>0</v>
      </c>
    </row>
    <row r="235" spans="1:13" x14ac:dyDescent="0.2">
      <c r="A235" s="2" t="s">
        <v>219</v>
      </c>
      <c r="B235" s="2" t="s">
        <v>220</v>
      </c>
      <c r="C235" s="2" t="s">
        <v>19</v>
      </c>
      <c r="D235" s="2" t="s">
        <v>52</v>
      </c>
      <c r="E235" s="2" t="s">
        <v>4128</v>
      </c>
      <c r="F235" s="5">
        <v>45902</v>
      </c>
      <c r="G235" s="4">
        <v>0</v>
      </c>
      <c r="H235" s="4"/>
      <c r="I235" s="2" t="s">
        <v>29</v>
      </c>
      <c r="J235" s="2">
        <v>140</v>
      </c>
      <c r="K235" s="2">
        <v>1.5</v>
      </c>
      <c r="L235" s="2">
        <v>210</v>
      </c>
      <c r="M235" s="2">
        <v>0</v>
      </c>
    </row>
    <row r="236" spans="1:13" x14ac:dyDescent="0.2">
      <c r="A236" s="2" t="s">
        <v>1083</v>
      </c>
      <c r="B236" s="2" t="s">
        <v>1084</v>
      </c>
      <c r="C236" s="2" t="s">
        <v>1366</v>
      </c>
      <c r="D236" s="2" t="s">
        <v>52</v>
      </c>
      <c r="E236" s="2" t="s">
        <v>4128</v>
      </c>
      <c r="F236" s="5"/>
      <c r="G236" s="4">
        <v>0</v>
      </c>
      <c r="H236" s="4"/>
      <c r="I236" s="2" t="s">
        <v>29</v>
      </c>
      <c r="J236" s="2">
        <v>140</v>
      </c>
      <c r="K236" s="2">
        <v>1.5</v>
      </c>
      <c r="L236" s="2">
        <v>210</v>
      </c>
      <c r="M236" s="2">
        <v>0</v>
      </c>
    </row>
    <row r="237" spans="1:13" x14ac:dyDescent="0.2">
      <c r="A237" s="2" t="s">
        <v>3950</v>
      </c>
      <c r="B237" s="2" t="s">
        <v>3951</v>
      </c>
      <c r="C237" s="2" t="s">
        <v>19</v>
      </c>
      <c r="D237" s="2" t="s">
        <v>52</v>
      </c>
      <c r="E237" s="2" t="s">
        <v>4128</v>
      </c>
      <c r="F237" s="5"/>
      <c r="G237" s="4">
        <v>0</v>
      </c>
      <c r="H237" s="4"/>
      <c r="I237" s="2" t="s">
        <v>29</v>
      </c>
      <c r="J237" s="2">
        <v>140</v>
      </c>
      <c r="K237" s="2">
        <v>1.5</v>
      </c>
      <c r="L237" s="2">
        <v>0</v>
      </c>
      <c r="M237" s="2">
        <v>210</v>
      </c>
    </row>
    <row r="238" spans="1:13" x14ac:dyDescent="0.2">
      <c r="A238" s="2" t="s">
        <v>3386</v>
      </c>
      <c r="B238" s="2" t="s">
        <v>3387</v>
      </c>
      <c r="C238" s="2" t="s">
        <v>66</v>
      </c>
      <c r="D238" s="2" t="s">
        <v>52</v>
      </c>
      <c r="E238" s="2" t="s">
        <v>4128</v>
      </c>
      <c r="F238" s="5"/>
      <c r="G238" s="4">
        <v>0</v>
      </c>
      <c r="H238" s="4"/>
      <c r="I238" s="2" t="s">
        <v>29</v>
      </c>
      <c r="J238" s="2">
        <v>140</v>
      </c>
      <c r="K238" s="2">
        <v>1.5</v>
      </c>
      <c r="L238" s="2">
        <v>0</v>
      </c>
      <c r="M238" s="2">
        <v>210</v>
      </c>
    </row>
    <row r="239" spans="1:13" x14ac:dyDescent="0.2">
      <c r="A239" s="2" t="s">
        <v>801</v>
      </c>
      <c r="B239" s="2" t="s">
        <v>802</v>
      </c>
      <c r="C239" s="2" t="s">
        <v>66</v>
      </c>
      <c r="D239" s="2" t="s">
        <v>52</v>
      </c>
      <c r="E239" s="2" t="s">
        <v>4128</v>
      </c>
      <c r="F239" s="5"/>
      <c r="G239" s="4">
        <v>0</v>
      </c>
      <c r="H239" s="4"/>
      <c r="I239" s="2" t="s">
        <v>29</v>
      </c>
      <c r="J239" s="2">
        <v>140</v>
      </c>
      <c r="K239" s="2">
        <v>1.5</v>
      </c>
      <c r="L239" s="2">
        <v>0</v>
      </c>
      <c r="M239" s="2">
        <v>210</v>
      </c>
    </row>
    <row r="240" spans="1:13" x14ac:dyDescent="0.2">
      <c r="A240" s="2" t="s">
        <v>221</v>
      </c>
      <c r="B240" s="2" t="s">
        <v>222</v>
      </c>
      <c r="C240" s="2" t="s">
        <v>19</v>
      </c>
      <c r="D240" s="2" t="s">
        <v>52</v>
      </c>
      <c r="E240" s="2" t="s">
        <v>4128</v>
      </c>
      <c r="F240" s="5"/>
      <c r="G240" s="4">
        <v>0</v>
      </c>
      <c r="H240" s="4"/>
      <c r="I240" s="2" t="s">
        <v>29</v>
      </c>
      <c r="J240" s="2">
        <v>140</v>
      </c>
      <c r="K240" s="2">
        <v>1.5</v>
      </c>
      <c r="L240" s="2">
        <v>345</v>
      </c>
      <c r="M240" s="2">
        <v>0</v>
      </c>
    </row>
    <row r="241" spans="1:13" x14ac:dyDescent="0.2">
      <c r="A241" s="2" t="s">
        <v>3952</v>
      </c>
      <c r="B241" s="2" t="s">
        <v>3953</v>
      </c>
      <c r="C241" s="2" t="s">
        <v>19</v>
      </c>
      <c r="D241" s="2" t="s">
        <v>52</v>
      </c>
      <c r="E241" s="2" t="s">
        <v>4128</v>
      </c>
      <c r="F241" s="5"/>
      <c r="G241" s="4">
        <v>0</v>
      </c>
      <c r="H241" s="4"/>
      <c r="I241" s="2" t="s">
        <v>29</v>
      </c>
      <c r="J241" s="2">
        <v>140</v>
      </c>
      <c r="K241" s="2">
        <v>1.5</v>
      </c>
      <c r="L241" s="2">
        <v>0</v>
      </c>
      <c r="M241" s="2">
        <v>210</v>
      </c>
    </row>
    <row r="242" spans="1:13" x14ac:dyDescent="0.2">
      <c r="A242" s="2" t="s">
        <v>213</v>
      </c>
      <c r="B242" s="2" t="s">
        <v>214</v>
      </c>
      <c r="C242" s="2" t="s">
        <v>91</v>
      </c>
      <c r="D242" s="2" t="s">
        <v>52</v>
      </c>
      <c r="E242" s="2" t="s">
        <v>4128</v>
      </c>
      <c r="F242" s="5"/>
      <c r="G242" s="4">
        <v>0</v>
      </c>
      <c r="H242" s="4"/>
      <c r="I242" s="2" t="s">
        <v>29</v>
      </c>
      <c r="J242" s="2">
        <v>140</v>
      </c>
      <c r="K242" s="2">
        <v>1.5</v>
      </c>
      <c r="L242" s="2">
        <v>210</v>
      </c>
      <c r="M242" s="2">
        <v>0</v>
      </c>
    </row>
    <row r="243" spans="1:13" x14ac:dyDescent="0.2">
      <c r="A243" s="2" t="s">
        <v>819</v>
      </c>
      <c r="B243" s="2" t="s">
        <v>820</v>
      </c>
      <c r="C243" s="2" t="s">
        <v>1366</v>
      </c>
      <c r="D243" s="2" t="s">
        <v>52</v>
      </c>
      <c r="E243" s="2" t="s">
        <v>4128</v>
      </c>
      <c r="F243" s="5"/>
      <c r="G243" s="4">
        <v>0</v>
      </c>
      <c r="H243" s="4"/>
      <c r="I243" s="2" t="s">
        <v>29</v>
      </c>
      <c r="J243" s="2">
        <v>140</v>
      </c>
      <c r="K243" s="2">
        <v>1.5</v>
      </c>
      <c r="L243" s="2">
        <v>0</v>
      </c>
      <c r="M243" s="2">
        <v>210</v>
      </c>
    </row>
    <row r="244" spans="1:13" x14ac:dyDescent="0.2">
      <c r="A244" s="2" t="s">
        <v>1081</v>
      </c>
      <c r="B244" s="2" t="s">
        <v>1082</v>
      </c>
      <c r="C244" s="2" t="s">
        <v>94</v>
      </c>
      <c r="D244" s="2" t="s">
        <v>52</v>
      </c>
      <c r="E244" s="2" t="s">
        <v>4128</v>
      </c>
      <c r="F244" s="5"/>
      <c r="G244" s="4">
        <v>0</v>
      </c>
      <c r="H244" s="4"/>
      <c r="I244" s="2" t="s">
        <v>29</v>
      </c>
      <c r="J244" s="2">
        <v>140</v>
      </c>
      <c r="K244" s="2">
        <v>1.5</v>
      </c>
      <c r="L244" s="2">
        <v>210</v>
      </c>
      <c r="M244" s="2">
        <v>0</v>
      </c>
    </row>
    <row r="245" spans="1:13" x14ac:dyDescent="0.2">
      <c r="A245" s="2" t="s">
        <v>237</v>
      </c>
      <c r="B245" s="2" t="s">
        <v>238</v>
      </c>
      <c r="C245" s="2" t="s">
        <v>66</v>
      </c>
      <c r="D245" s="2" t="s">
        <v>52</v>
      </c>
      <c r="E245" s="2" t="s">
        <v>4128</v>
      </c>
      <c r="F245" s="5"/>
      <c r="G245" s="4">
        <v>0</v>
      </c>
      <c r="H245" s="4"/>
      <c r="I245" s="2" t="s">
        <v>29</v>
      </c>
      <c r="J245" s="2">
        <v>140</v>
      </c>
      <c r="K245" s="2">
        <v>1.5</v>
      </c>
      <c r="L245" s="2">
        <v>210</v>
      </c>
      <c r="M245" s="2">
        <v>0</v>
      </c>
    </row>
    <row r="246" spans="1:13" x14ac:dyDescent="0.2">
      <c r="A246" s="2" t="s">
        <v>223</v>
      </c>
      <c r="B246" s="2" t="s">
        <v>224</v>
      </c>
      <c r="C246" s="2" t="s">
        <v>19</v>
      </c>
      <c r="D246" s="2" t="s">
        <v>52</v>
      </c>
      <c r="E246" s="2" t="s">
        <v>4128</v>
      </c>
      <c r="F246" s="5"/>
      <c r="G246" s="4">
        <v>0</v>
      </c>
      <c r="H246" s="4"/>
      <c r="I246" s="2" t="s">
        <v>29</v>
      </c>
      <c r="J246" s="2">
        <v>140</v>
      </c>
      <c r="K246" s="2">
        <v>1.5</v>
      </c>
      <c r="L246" s="2">
        <v>345</v>
      </c>
      <c r="M246" s="2">
        <v>0</v>
      </c>
    </row>
    <row r="247" spans="1:13" x14ac:dyDescent="0.2">
      <c r="A247" s="2" t="s">
        <v>235</v>
      </c>
      <c r="B247" s="2" t="s">
        <v>236</v>
      </c>
      <c r="C247" s="2" t="s">
        <v>19</v>
      </c>
      <c r="D247" s="2" t="s">
        <v>52</v>
      </c>
      <c r="E247" s="2" t="s">
        <v>4128</v>
      </c>
      <c r="F247" s="5"/>
      <c r="G247" s="4">
        <v>0</v>
      </c>
      <c r="H247" s="4"/>
      <c r="I247" s="2" t="s">
        <v>29</v>
      </c>
      <c r="J247" s="2">
        <v>140</v>
      </c>
      <c r="K247" s="2">
        <v>1.5</v>
      </c>
      <c r="L247" s="2">
        <v>210</v>
      </c>
      <c r="M247" s="2">
        <v>0</v>
      </c>
    </row>
    <row r="248" spans="1:13" x14ac:dyDescent="0.2">
      <c r="A248" s="2" t="s">
        <v>3954</v>
      </c>
      <c r="B248" s="2" t="s">
        <v>3955</v>
      </c>
      <c r="C248" s="2" t="s">
        <v>54</v>
      </c>
      <c r="D248" s="2" t="s">
        <v>52</v>
      </c>
      <c r="E248" s="2" t="s">
        <v>4128</v>
      </c>
      <c r="F248" s="5"/>
      <c r="G248" s="4">
        <v>0</v>
      </c>
      <c r="H248" s="4"/>
      <c r="I248" s="2" t="s">
        <v>29</v>
      </c>
      <c r="J248" s="2">
        <v>140</v>
      </c>
      <c r="K248" s="2">
        <v>1.5</v>
      </c>
      <c r="L248" s="2">
        <v>0</v>
      </c>
      <c r="M248" s="2">
        <v>210</v>
      </c>
    </row>
    <row r="249" spans="1:13" x14ac:dyDescent="0.2">
      <c r="A249" s="2" t="s">
        <v>3956</v>
      </c>
      <c r="B249" s="2" t="s">
        <v>3957</v>
      </c>
      <c r="C249" s="2" t="s">
        <v>94</v>
      </c>
      <c r="D249" s="2" t="s">
        <v>52</v>
      </c>
      <c r="E249" s="2" t="s">
        <v>4128</v>
      </c>
      <c r="F249" s="5"/>
      <c r="G249" s="4">
        <v>0</v>
      </c>
      <c r="H249" s="4"/>
      <c r="I249" s="2" t="s">
        <v>29</v>
      </c>
      <c r="J249" s="2">
        <v>140</v>
      </c>
      <c r="K249" s="2">
        <v>1.5</v>
      </c>
      <c r="L249" s="2">
        <v>0</v>
      </c>
      <c r="M249" s="2">
        <v>210</v>
      </c>
    </row>
    <row r="250" spans="1:13" x14ac:dyDescent="0.2">
      <c r="A250" s="4" t="s">
        <v>825</v>
      </c>
      <c r="B250" s="4" t="s">
        <v>826</v>
      </c>
      <c r="C250" s="4" t="s">
        <v>4124</v>
      </c>
      <c r="D250" s="4" t="s">
        <v>52</v>
      </c>
      <c r="E250" s="4" t="s">
        <v>88</v>
      </c>
      <c r="F250" s="5"/>
      <c r="G250" s="4">
        <v>0</v>
      </c>
      <c r="H250" s="4"/>
      <c r="I250" s="4" t="s">
        <v>29</v>
      </c>
      <c r="J250" s="4">
        <v>140</v>
      </c>
      <c r="K250" s="4">
        <v>1.5</v>
      </c>
      <c r="L250" s="4">
        <v>0</v>
      </c>
      <c r="M250" s="4">
        <v>210</v>
      </c>
    </row>
    <row r="251" spans="1:13" x14ac:dyDescent="0.2">
      <c r="A251" s="2" t="s">
        <v>3388</v>
      </c>
      <c r="B251" s="2" t="s">
        <v>3389</v>
      </c>
      <c r="C251" s="2" t="s">
        <v>4125</v>
      </c>
      <c r="D251" s="2" t="s">
        <v>52</v>
      </c>
      <c r="E251" s="2" t="s">
        <v>4128</v>
      </c>
      <c r="F251" s="5"/>
      <c r="G251" s="4">
        <v>0</v>
      </c>
      <c r="H251" s="4"/>
      <c r="I251" s="2" t="s">
        <v>29</v>
      </c>
      <c r="J251" s="2">
        <v>140</v>
      </c>
      <c r="K251" s="2">
        <v>1.5</v>
      </c>
      <c r="L251" s="2">
        <v>0</v>
      </c>
      <c r="M251" s="2">
        <v>210</v>
      </c>
    </row>
    <row r="252" spans="1:13" x14ac:dyDescent="0.2">
      <c r="A252" s="2" t="s">
        <v>1087</v>
      </c>
      <c r="B252" s="2" t="s">
        <v>1088</v>
      </c>
      <c r="C252" s="2" t="s">
        <v>91</v>
      </c>
      <c r="D252" s="2" t="s">
        <v>52</v>
      </c>
      <c r="E252" s="2" t="s">
        <v>4128</v>
      </c>
      <c r="F252" s="5"/>
      <c r="G252" s="4">
        <v>0</v>
      </c>
      <c r="H252" s="4"/>
      <c r="I252" s="2" t="s">
        <v>29</v>
      </c>
      <c r="J252" s="2">
        <v>140</v>
      </c>
      <c r="K252" s="2">
        <v>1.5</v>
      </c>
      <c r="L252" s="2">
        <v>210</v>
      </c>
      <c r="M252" s="2">
        <v>0</v>
      </c>
    </row>
    <row r="253" spans="1:13" x14ac:dyDescent="0.2">
      <c r="A253" s="2" t="s">
        <v>835</v>
      </c>
      <c r="B253" s="2" t="s">
        <v>836</v>
      </c>
      <c r="C253" s="2" t="s">
        <v>91</v>
      </c>
      <c r="D253" s="2" t="s">
        <v>52</v>
      </c>
      <c r="E253" s="2" t="s">
        <v>4128</v>
      </c>
      <c r="F253" s="5"/>
      <c r="G253" s="4">
        <v>0</v>
      </c>
      <c r="H253" s="4"/>
      <c r="I253" s="2" t="s">
        <v>29</v>
      </c>
      <c r="J253" s="2">
        <v>140</v>
      </c>
      <c r="K253" s="2">
        <v>1.5</v>
      </c>
      <c r="L253" s="2">
        <v>0</v>
      </c>
      <c r="M253" s="2">
        <v>210</v>
      </c>
    </row>
    <row r="254" spans="1:13" x14ac:dyDescent="0.2">
      <c r="A254" s="2" t="s">
        <v>253</v>
      </c>
      <c r="B254" s="2" t="s">
        <v>254</v>
      </c>
      <c r="C254" s="2" t="s">
        <v>94</v>
      </c>
      <c r="D254" s="2" t="s">
        <v>52</v>
      </c>
      <c r="E254" s="2" t="s">
        <v>4128</v>
      </c>
      <c r="F254" s="5"/>
      <c r="G254" s="4">
        <v>0</v>
      </c>
      <c r="H254" s="4"/>
      <c r="I254" s="2" t="s">
        <v>29</v>
      </c>
      <c r="J254" s="2">
        <v>140</v>
      </c>
      <c r="K254" s="2">
        <v>1.5</v>
      </c>
      <c r="L254" s="2">
        <v>210</v>
      </c>
      <c r="M254" s="2">
        <v>0</v>
      </c>
    </row>
    <row r="255" spans="1:13" x14ac:dyDescent="0.2">
      <c r="A255" s="2" t="s">
        <v>833</v>
      </c>
      <c r="B255" s="2" t="s">
        <v>834</v>
      </c>
      <c r="C255" s="2" t="s">
        <v>91</v>
      </c>
      <c r="D255" s="2" t="s">
        <v>52</v>
      </c>
      <c r="E255" s="2" t="s">
        <v>4128</v>
      </c>
      <c r="F255" s="5"/>
      <c r="G255" s="4">
        <v>0</v>
      </c>
      <c r="H255" s="4"/>
      <c r="I255" s="2" t="s">
        <v>29</v>
      </c>
      <c r="J255" s="2">
        <v>140</v>
      </c>
      <c r="K255" s="2">
        <v>1.5</v>
      </c>
      <c r="L255" s="2">
        <v>0</v>
      </c>
      <c r="M255" s="2">
        <v>210</v>
      </c>
    </row>
    <row r="256" spans="1:13" x14ac:dyDescent="0.2">
      <c r="A256" s="2" t="s">
        <v>3958</v>
      </c>
      <c r="B256" s="2" t="s">
        <v>3959</v>
      </c>
      <c r="C256" s="2" t="s">
        <v>91</v>
      </c>
      <c r="D256" s="2" t="s">
        <v>52</v>
      </c>
      <c r="E256" s="2" t="s">
        <v>4128</v>
      </c>
      <c r="F256" s="5"/>
      <c r="G256" s="4">
        <v>0</v>
      </c>
      <c r="H256" s="4"/>
      <c r="I256" s="2" t="s">
        <v>29</v>
      </c>
      <c r="J256" s="2">
        <v>140</v>
      </c>
      <c r="K256" s="2">
        <v>1.5</v>
      </c>
      <c r="L256" s="2">
        <v>0</v>
      </c>
      <c r="M256" s="2">
        <v>210</v>
      </c>
    </row>
    <row r="257" spans="1:13" x14ac:dyDescent="0.2">
      <c r="A257" s="4" t="s">
        <v>3390</v>
      </c>
      <c r="B257" s="4" t="s">
        <v>3391</v>
      </c>
      <c r="C257" s="4" t="s">
        <v>4124</v>
      </c>
      <c r="D257" s="4" t="s">
        <v>63</v>
      </c>
      <c r="E257" s="4" t="s">
        <v>88</v>
      </c>
      <c r="F257" s="5"/>
      <c r="G257" s="4">
        <v>0</v>
      </c>
      <c r="H257" s="4"/>
      <c r="I257" s="4" t="s">
        <v>29</v>
      </c>
      <c r="J257" s="4">
        <v>140</v>
      </c>
      <c r="K257" s="4">
        <v>1.5</v>
      </c>
      <c r="L257" s="4">
        <v>0</v>
      </c>
      <c r="M257" s="4">
        <v>210</v>
      </c>
    </row>
    <row r="258" spans="1:13" x14ac:dyDescent="0.2">
      <c r="A258" s="2" t="s">
        <v>467</v>
      </c>
      <c r="B258" s="2" t="s">
        <v>468</v>
      </c>
      <c r="C258" s="2" t="s">
        <v>7</v>
      </c>
      <c r="D258" s="2" t="s">
        <v>52</v>
      </c>
      <c r="E258" s="2" t="s">
        <v>4128</v>
      </c>
      <c r="F258" s="5"/>
      <c r="G258" s="4">
        <v>0</v>
      </c>
      <c r="H258" s="4"/>
      <c r="I258" s="2" t="s">
        <v>29</v>
      </c>
      <c r="J258" s="2">
        <v>140</v>
      </c>
      <c r="K258" s="2">
        <v>1.5</v>
      </c>
      <c r="L258" s="2">
        <v>210</v>
      </c>
      <c r="M258" s="2">
        <v>0</v>
      </c>
    </row>
    <row r="259" spans="1:13" x14ac:dyDescent="0.2">
      <c r="A259" s="2" t="s">
        <v>3392</v>
      </c>
      <c r="B259" s="2" t="s">
        <v>3393</v>
      </c>
      <c r="C259" s="2" t="s">
        <v>592</v>
      </c>
      <c r="D259" s="2" t="s">
        <v>52</v>
      </c>
      <c r="E259" s="2" t="s">
        <v>4128</v>
      </c>
      <c r="F259" s="5"/>
      <c r="G259" s="4">
        <v>0</v>
      </c>
      <c r="H259" s="4"/>
      <c r="I259" s="2" t="s">
        <v>29</v>
      </c>
      <c r="J259" s="2">
        <v>140</v>
      </c>
      <c r="K259" s="2">
        <v>1.5</v>
      </c>
      <c r="L259" s="2">
        <v>0</v>
      </c>
      <c r="M259" s="2">
        <v>210</v>
      </c>
    </row>
    <row r="260" spans="1:13" x14ac:dyDescent="0.2">
      <c r="A260" s="2" t="s">
        <v>3394</v>
      </c>
      <c r="B260" s="2" t="s">
        <v>3395</v>
      </c>
      <c r="C260" s="2" t="s">
        <v>592</v>
      </c>
      <c r="D260" s="2" t="s">
        <v>52</v>
      </c>
      <c r="E260" s="2" t="s">
        <v>4128</v>
      </c>
      <c r="F260" s="5"/>
      <c r="G260" s="4">
        <v>0</v>
      </c>
      <c r="H260" s="4"/>
      <c r="I260" s="2" t="s">
        <v>29</v>
      </c>
      <c r="J260" s="2">
        <v>140</v>
      </c>
      <c r="K260" s="2">
        <v>1.5</v>
      </c>
      <c r="L260" s="2">
        <v>0</v>
      </c>
      <c r="M260" s="2">
        <v>210</v>
      </c>
    </row>
    <row r="261" spans="1:13" x14ac:dyDescent="0.2">
      <c r="A261" s="2" t="s">
        <v>3960</v>
      </c>
      <c r="B261" s="2" t="s">
        <v>3961</v>
      </c>
      <c r="C261" s="2" t="s">
        <v>7</v>
      </c>
      <c r="D261" s="2" t="s">
        <v>52</v>
      </c>
      <c r="E261" s="2" t="s">
        <v>4128</v>
      </c>
      <c r="F261" s="5"/>
      <c r="G261" s="4">
        <v>0</v>
      </c>
      <c r="H261" s="4"/>
      <c r="I261" s="2" t="s">
        <v>29</v>
      </c>
      <c r="J261" s="2">
        <v>140</v>
      </c>
      <c r="K261" s="2">
        <v>1.5</v>
      </c>
      <c r="L261" s="2">
        <v>0</v>
      </c>
      <c r="M261" s="2">
        <v>210</v>
      </c>
    </row>
    <row r="262" spans="1:13" x14ac:dyDescent="0.2">
      <c r="A262" s="2" t="s">
        <v>841</v>
      </c>
      <c r="B262" s="2" t="s">
        <v>842</v>
      </c>
      <c r="C262" s="2" t="s">
        <v>592</v>
      </c>
      <c r="D262" s="2" t="s">
        <v>52</v>
      </c>
      <c r="E262" s="2" t="s">
        <v>4128</v>
      </c>
      <c r="F262" s="5"/>
      <c r="G262" s="4">
        <v>0</v>
      </c>
      <c r="H262" s="4"/>
      <c r="I262" s="2" t="s">
        <v>29</v>
      </c>
      <c r="J262" s="2">
        <v>140</v>
      </c>
      <c r="K262" s="2">
        <v>1.5</v>
      </c>
      <c r="L262" s="2">
        <v>0</v>
      </c>
      <c r="M262" s="2">
        <v>210</v>
      </c>
    </row>
    <row r="263" spans="1:13" x14ac:dyDescent="0.2">
      <c r="A263" s="2" t="s">
        <v>3962</v>
      </c>
      <c r="B263" s="2" t="s">
        <v>3963</v>
      </c>
      <c r="C263" s="2" t="s">
        <v>91</v>
      </c>
      <c r="D263" s="2" t="s">
        <v>52</v>
      </c>
      <c r="E263" s="2" t="s">
        <v>4128</v>
      </c>
      <c r="F263" s="5"/>
      <c r="G263" s="4">
        <v>0</v>
      </c>
      <c r="H263" s="4"/>
      <c r="I263" s="2" t="s">
        <v>29</v>
      </c>
      <c r="J263" s="2">
        <v>140</v>
      </c>
      <c r="K263" s="2">
        <v>1.5</v>
      </c>
      <c r="L263" s="2">
        <v>210</v>
      </c>
      <c r="M263" s="2">
        <v>0</v>
      </c>
    </row>
    <row r="264" spans="1:13" x14ac:dyDescent="0.2">
      <c r="A264" s="2" t="s">
        <v>3964</v>
      </c>
      <c r="B264" s="2" t="s">
        <v>3965</v>
      </c>
      <c r="C264" s="2" t="s">
        <v>7</v>
      </c>
      <c r="D264" s="2" t="s">
        <v>52</v>
      </c>
      <c r="E264" s="2" t="s">
        <v>4128</v>
      </c>
      <c r="F264" s="5">
        <v>45936</v>
      </c>
      <c r="G264" s="4">
        <v>625</v>
      </c>
      <c r="H264" s="4"/>
      <c r="I264" s="2" t="s">
        <v>29</v>
      </c>
      <c r="J264" s="2">
        <v>140</v>
      </c>
      <c r="K264" s="2">
        <v>1.5</v>
      </c>
      <c r="L264" s="2">
        <v>0</v>
      </c>
      <c r="M264" s="2">
        <v>210</v>
      </c>
    </row>
    <row r="265" spans="1:13" x14ac:dyDescent="0.2">
      <c r="A265" s="2" t="s">
        <v>3396</v>
      </c>
      <c r="B265" s="2" t="s">
        <v>3397</v>
      </c>
      <c r="C265" s="2" t="s">
        <v>592</v>
      </c>
      <c r="D265" s="2" t="s">
        <v>52</v>
      </c>
      <c r="E265" s="2" t="s">
        <v>4128</v>
      </c>
      <c r="F265" s="5"/>
      <c r="G265" s="4">
        <v>0</v>
      </c>
      <c r="H265" s="4"/>
      <c r="I265" s="2" t="s">
        <v>29</v>
      </c>
      <c r="J265" s="2">
        <v>140</v>
      </c>
      <c r="K265" s="2">
        <v>1.5</v>
      </c>
      <c r="L265" s="2">
        <v>0</v>
      </c>
      <c r="M265" s="2">
        <v>210</v>
      </c>
    </row>
    <row r="266" spans="1:13" x14ac:dyDescent="0.2">
      <c r="A266" s="2" t="s">
        <v>3966</v>
      </c>
      <c r="B266" s="2" t="s">
        <v>3967</v>
      </c>
      <c r="C266" s="2" t="s">
        <v>66</v>
      </c>
      <c r="D266" s="2" t="s">
        <v>52</v>
      </c>
      <c r="E266" s="2" t="s">
        <v>4128</v>
      </c>
      <c r="F266" s="5"/>
      <c r="G266" s="4">
        <v>0</v>
      </c>
      <c r="H266" s="4"/>
      <c r="I266" s="2" t="s">
        <v>29</v>
      </c>
      <c r="J266" s="2">
        <v>140</v>
      </c>
      <c r="K266" s="2">
        <v>1.5</v>
      </c>
      <c r="L266" s="2">
        <v>0</v>
      </c>
      <c r="M266" s="2">
        <v>210</v>
      </c>
    </row>
    <row r="267" spans="1:13" x14ac:dyDescent="0.2">
      <c r="A267" s="2" t="s">
        <v>3398</v>
      </c>
      <c r="B267" s="2" t="s">
        <v>3399</v>
      </c>
      <c r="C267" s="2" t="s">
        <v>91</v>
      </c>
      <c r="D267" s="2" t="s">
        <v>52</v>
      </c>
      <c r="E267" s="2" t="s">
        <v>4128</v>
      </c>
      <c r="F267" s="5"/>
      <c r="G267" s="4">
        <v>0</v>
      </c>
      <c r="H267" s="4"/>
      <c r="I267" s="2" t="s">
        <v>29</v>
      </c>
      <c r="J267" s="2">
        <v>140</v>
      </c>
      <c r="K267" s="2">
        <v>1.5</v>
      </c>
      <c r="L267" s="2">
        <v>0</v>
      </c>
      <c r="M267" s="2">
        <v>210</v>
      </c>
    </row>
    <row r="268" spans="1:13" x14ac:dyDescent="0.2">
      <c r="A268" s="2" t="s">
        <v>3400</v>
      </c>
      <c r="B268" s="2" t="s">
        <v>3401</v>
      </c>
      <c r="C268" s="2" t="s">
        <v>592</v>
      </c>
      <c r="D268" s="2" t="s">
        <v>52</v>
      </c>
      <c r="E268" s="2" t="s">
        <v>4128</v>
      </c>
      <c r="F268" s="5"/>
      <c r="G268" s="4">
        <v>0</v>
      </c>
      <c r="H268" s="4"/>
      <c r="I268" s="2" t="s">
        <v>29</v>
      </c>
      <c r="J268" s="2">
        <v>140</v>
      </c>
      <c r="K268" s="2">
        <v>1.5</v>
      </c>
      <c r="L268" s="2">
        <v>0</v>
      </c>
      <c r="M268" s="2">
        <v>210</v>
      </c>
    </row>
    <row r="269" spans="1:13" x14ac:dyDescent="0.2">
      <c r="A269" s="2" t="s">
        <v>3402</v>
      </c>
      <c r="B269" s="2" t="s">
        <v>3403</v>
      </c>
      <c r="C269" s="2" t="s">
        <v>7</v>
      </c>
      <c r="D269" s="2" t="s">
        <v>52</v>
      </c>
      <c r="E269" s="2" t="s">
        <v>4128</v>
      </c>
      <c r="F269" s="5"/>
      <c r="G269" s="4">
        <v>0</v>
      </c>
      <c r="H269" s="4"/>
      <c r="I269" s="2" t="s">
        <v>29</v>
      </c>
      <c r="J269" s="2">
        <v>140</v>
      </c>
      <c r="K269" s="2">
        <v>1.5</v>
      </c>
      <c r="L269" s="2">
        <v>0</v>
      </c>
      <c r="M269" s="2">
        <v>210</v>
      </c>
    </row>
    <row r="270" spans="1:13" x14ac:dyDescent="0.2">
      <c r="A270" s="2" t="s">
        <v>265</v>
      </c>
      <c r="B270" s="2" t="s">
        <v>266</v>
      </c>
      <c r="C270" s="2" t="s">
        <v>54</v>
      </c>
      <c r="D270" s="2" t="s">
        <v>52</v>
      </c>
      <c r="E270" s="2" t="s">
        <v>4128</v>
      </c>
      <c r="F270" s="5"/>
      <c r="G270" s="4">
        <v>0</v>
      </c>
      <c r="H270" s="4"/>
      <c r="I270" s="2" t="s">
        <v>29</v>
      </c>
      <c r="J270" s="2">
        <v>140</v>
      </c>
      <c r="K270" s="2">
        <v>1.5</v>
      </c>
      <c r="L270" s="2">
        <v>600</v>
      </c>
      <c r="M270" s="2">
        <v>0</v>
      </c>
    </row>
    <row r="271" spans="1:13" x14ac:dyDescent="0.2">
      <c r="A271" s="2" t="s">
        <v>857</v>
      </c>
      <c r="B271" s="2" t="s">
        <v>858</v>
      </c>
      <c r="C271" s="2" t="s">
        <v>66</v>
      </c>
      <c r="D271" s="2" t="s">
        <v>52</v>
      </c>
      <c r="E271" s="2" t="s">
        <v>4128</v>
      </c>
      <c r="F271" s="5"/>
      <c r="G271" s="4">
        <v>0</v>
      </c>
      <c r="H271" s="4"/>
      <c r="I271" s="2" t="s">
        <v>29</v>
      </c>
      <c r="J271" s="2">
        <v>140</v>
      </c>
      <c r="K271" s="2">
        <v>1.5</v>
      </c>
      <c r="L271" s="2">
        <v>0</v>
      </c>
      <c r="M271" s="2">
        <v>210</v>
      </c>
    </row>
    <row r="272" spans="1:13" x14ac:dyDescent="0.2">
      <c r="A272" s="2" t="s">
        <v>853</v>
      </c>
      <c r="B272" s="2" t="s">
        <v>854</v>
      </c>
      <c r="C272" s="2" t="s">
        <v>94</v>
      </c>
      <c r="D272" s="2" t="s">
        <v>52</v>
      </c>
      <c r="E272" s="2" t="s">
        <v>4128</v>
      </c>
      <c r="F272" s="5"/>
      <c r="G272" s="4">
        <v>0</v>
      </c>
      <c r="H272" s="4"/>
      <c r="I272" s="2" t="s">
        <v>29</v>
      </c>
      <c r="J272" s="2">
        <v>140</v>
      </c>
      <c r="K272" s="2">
        <v>1.5</v>
      </c>
      <c r="L272" s="2">
        <v>0</v>
      </c>
      <c r="M272" s="2">
        <v>210</v>
      </c>
    </row>
    <row r="273" spans="1:13" x14ac:dyDescent="0.2">
      <c r="A273" s="2" t="s">
        <v>3404</v>
      </c>
      <c r="B273" s="2" t="s">
        <v>3405</v>
      </c>
      <c r="C273" s="2" t="s">
        <v>7</v>
      </c>
      <c r="D273" s="2" t="s">
        <v>52</v>
      </c>
      <c r="E273" s="2" t="s">
        <v>4128</v>
      </c>
      <c r="F273" s="5"/>
      <c r="G273" s="4">
        <v>0</v>
      </c>
      <c r="H273" s="4"/>
      <c r="I273" s="2" t="s">
        <v>29</v>
      </c>
      <c r="J273" s="2">
        <v>140</v>
      </c>
      <c r="K273" s="2">
        <v>1.5</v>
      </c>
      <c r="L273" s="2">
        <v>0</v>
      </c>
      <c r="M273" s="2">
        <v>210</v>
      </c>
    </row>
    <row r="274" spans="1:13" x14ac:dyDescent="0.2">
      <c r="A274" s="2" t="s">
        <v>859</v>
      </c>
      <c r="B274" s="2" t="s">
        <v>860</v>
      </c>
      <c r="C274" s="2" t="s">
        <v>54</v>
      </c>
      <c r="D274" s="2" t="s">
        <v>52</v>
      </c>
      <c r="E274" s="2" t="s">
        <v>4128</v>
      </c>
      <c r="F274" s="5"/>
      <c r="G274" s="4">
        <v>0</v>
      </c>
      <c r="H274" s="4"/>
      <c r="I274" s="2" t="s">
        <v>29</v>
      </c>
      <c r="J274" s="2">
        <v>140</v>
      </c>
      <c r="K274" s="2">
        <v>1.5</v>
      </c>
      <c r="L274" s="2">
        <v>0</v>
      </c>
      <c r="M274" s="2">
        <v>210</v>
      </c>
    </row>
    <row r="275" spans="1:13" x14ac:dyDescent="0.2">
      <c r="A275" s="2" t="s">
        <v>855</v>
      </c>
      <c r="B275" s="2" t="s">
        <v>856</v>
      </c>
      <c r="C275" s="2" t="s">
        <v>66</v>
      </c>
      <c r="D275" s="2" t="s">
        <v>52</v>
      </c>
      <c r="E275" s="2" t="s">
        <v>4128</v>
      </c>
      <c r="F275" s="5"/>
      <c r="G275" s="4">
        <v>0</v>
      </c>
      <c r="H275" s="4"/>
      <c r="I275" s="2" t="s">
        <v>29</v>
      </c>
      <c r="J275" s="2">
        <v>140</v>
      </c>
      <c r="K275" s="2">
        <v>1.5</v>
      </c>
      <c r="L275" s="2">
        <v>0</v>
      </c>
      <c r="M275" s="2">
        <v>210</v>
      </c>
    </row>
    <row r="276" spans="1:13" x14ac:dyDescent="0.2">
      <c r="A276" s="2" t="s">
        <v>847</v>
      </c>
      <c r="B276" s="2" t="s">
        <v>848</v>
      </c>
      <c r="C276" s="2" t="s">
        <v>66</v>
      </c>
      <c r="D276" s="2" t="s">
        <v>52</v>
      </c>
      <c r="E276" s="2" t="s">
        <v>4128</v>
      </c>
      <c r="F276" s="5"/>
      <c r="G276" s="4">
        <v>0</v>
      </c>
      <c r="H276" s="4"/>
      <c r="I276" s="2" t="s">
        <v>29</v>
      </c>
      <c r="J276" s="2">
        <v>140</v>
      </c>
      <c r="K276" s="2">
        <v>1.5</v>
      </c>
      <c r="L276" s="2">
        <v>0</v>
      </c>
      <c r="M276" s="2">
        <v>210</v>
      </c>
    </row>
    <row r="277" spans="1:13" x14ac:dyDescent="0.2">
      <c r="A277" s="2" t="s">
        <v>3406</v>
      </c>
      <c r="B277" s="2" t="s">
        <v>3407</v>
      </c>
      <c r="C277" s="2" t="s">
        <v>4126</v>
      </c>
      <c r="D277" s="2" t="s">
        <v>52</v>
      </c>
      <c r="E277" s="2" t="s">
        <v>4128</v>
      </c>
      <c r="F277" s="5"/>
      <c r="G277" s="4">
        <v>0</v>
      </c>
      <c r="H277" s="4"/>
      <c r="I277" s="2" t="s">
        <v>29</v>
      </c>
      <c r="J277" s="2">
        <v>140</v>
      </c>
      <c r="K277" s="2">
        <v>1.5</v>
      </c>
      <c r="L277" s="2">
        <v>0</v>
      </c>
      <c r="M277" s="2">
        <v>210</v>
      </c>
    </row>
    <row r="278" spans="1:13" x14ac:dyDescent="0.2">
      <c r="A278" s="2" t="s">
        <v>3408</v>
      </c>
      <c r="B278" s="2" t="s">
        <v>3409</v>
      </c>
      <c r="C278" s="2" t="s">
        <v>1366</v>
      </c>
      <c r="D278" s="2" t="s">
        <v>52</v>
      </c>
      <c r="E278" s="2" t="s">
        <v>4128</v>
      </c>
      <c r="F278" s="5"/>
      <c r="G278" s="4">
        <v>0</v>
      </c>
      <c r="H278" s="4"/>
      <c r="I278" s="2" t="s">
        <v>29</v>
      </c>
      <c r="J278" s="2">
        <v>140</v>
      </c>
      <c r="K278" s="2">
        <v>1.5</v>
      </c>
      <c r="L278" s="2">
        <v>0</v>
      </c>
      <c r="M278" s="2">
        <v>210</v>
      </c>
    </row>
    <row r="279" spans="1:13" x14ac:dyDescent="0.2">
      <c r="A279" s="2" t="s">
        <v>873</v>
      </c>
      <c r="B279" s="2" t="s">
        <v>874</v>
      </c>
      <c r="C279" s="2" t="s">
        <v>54</v>
      </c>
      <c r="D279" s="2" t="s">
        <v>52</v>
      </c>
      <c r="E279" s="2" t="s">
        <v>4128</v>
      </c>
      <c r="F279" s="5"/>
      <c r="G279" s="4">
        <v>0</v>
      </c>
      <c r="H279" s="4"/>
      <c r="I279" s="2" t="s">
        <v>29</v>
      </c>
      <c r="J279" s="2">
        <v>140</v>
      </c>
      <c r="K279" s="2">
        <v>1.5</v>
      </c>
      <c r="L279" s="2">
        <v>0</v>
      </c>
      <c r="M279" s="2">
        <v>210</v>
      </c>
    </row>
    <row r="280" spans="1:13" x14ac:dyDescent="0.2">
      <c r="A280" s="2" t="s">
        <v>1095</v>
      </c>
      <c r="B280" s="2" t="s">
        <v>1096</v>
      </c>
      <c r="C280" s="2" t="s">
        <v>54</v>
      </c>
      <c r="D280" s="2" t="s">
        <v>52</v>
      </c>
      <c r="E280" s="2" t="s">
        <v>4128</v>
      </c>
      <c r="F280" s="5"/>
      <c r="G280" s="4">
        <v>0</v>
      </c>
      <c r="H280" s="4"/>
      <c r="I280" s="2" t="s">
        <v>29</v>
      </c>
      <c r="J280" s="2">
        <v>140</v>
      </c>
      <c r="K280" s="2">
        <v>1.5</v>
      </c>
      <c r="L280" s="2">
        <v>210</v>
      </c>
      <c r="M280" s="2">
        <v>0</v>
      </c>
    </row>
    <row r="281" spans="1:13" x14ac:dyDescent="0.2">
      <c r="A281" s="2" t="s">
        <v>867</v>
      </c>
      <c r="B281" s="2" t="s">
        <v>868</v>
      </c>
      <c r="C281" s="2" t="s">
        <v>66</v>
      </c>
      <c r="D281" s="2" t="s">
        <v>52</v>
      </c>
      <c r="E281" s="2" t="s">
        <v>4128</v>
      </c>
      <c r="F281" s="5"/>
      <c r="G281" s="4">
        <v>0</v>
      </c>
      <c r="H281" s="4"/>
      <c r="I281" s="2" t="s">
        <v>29</v>
      </c>
      <c r="J281" s="2">
        <v>140</v>
      </c>
      <c r="K281" s="2">
        <v>1.5</v>
      </c>
      <c r="L281" s="2">
        <v>0</v>
      </c>
      <c r="M281" s="2">
        <v>210</v>
      </c>
    </row>
    <row r="282" spans="1:13" x14ac:dyDescent="0.2">
      <c r="A282" s="2" t="s">
        <v>849</v>
      </c>
      <c r="B282" s="2" t="s">
        <v>850</v>
      </c>
      <c r="C282" s="2" t="s">
        <v>19</v>
      </c>
      <c r="D282" s="2" t="s">
        <v>52</v>
      </c>
      <c r="E282" s="2" t="s">
        <v>4128</v>
      </c>
      <c r="F282" s="5"/>
      <c r="G282" s="4">
        <v>0</v>
      </c>
      <c r="H282" s="4"/>
      <c r="I282" s="2" t="s">
        <v>29</v>
      </c>
      <c r="J282" s="2">
        <v>140</v>
      </c>
      <c r="K282" s="2">
        <v>1.5</v>
      </c>
      <c r="L282" s="2">
        <v>0</v>
      </c>
      <c r="M282" s="2">
        <v>210</v>
      </c>
    </row>
    <row r="283" spans="1:13" x14ac:dyDescent="0.2">
      <c r="A283" s="2" t="s">
        <v>3968</v>
      </c>
      <c r="B283" s="2" t="s">
        <v>3969</v>
      </c>
      <c r="C283" s="2" t="s">
        <v>66</v>
      </c>
      <c r="D283" s="2" t="s">
        <v>52</v>
      </c>
      <c r="E283" s="2" t="s">
        <v>4128</v>
      </c>
      <c r="F283" s="5"/>
      <c r="G283" s="4">
        <v>0</v>
      </c>
      <c r="H283" s="4"/>
      <c r="I283" s="2" t="s">
        <v>29</v>
      </c>
      <c r="J283" s="2">
        <v>140</v>
      </c>
      <c r="K283" s="2">
        <v>1.5</v>
      </c>
      <c r="L283" s="2">
        <v>0</v>
      </c>
      <c r="M283" s="2">
        <v>210</v>
      </c>
    </row>
    <row r="284" spans="1:13" x14ac:dyDescent="0.2">
      <c r="A284" s="2" t="s">
        <v>1093</v>
      </c>
      <c r="B284" s="2" t="s">
        <v>1094</v>
      </c>
      <c r="C284" s="2" t="s">
        <v>91</v>
      </c>
      <c r="D284" s="2" t="s">
        <v>52</v>
      </c>
      <c r="E284" s="2" t="s">
        <v>4128</v>
      </c>
      <c r="F284" s="5"/>
      <c r="G284" s="4">
        <v>0</v>
      </c>
      <c r="H284" s="4"/>
      <c r="I284" s="2" t="s">
        <v>29</v>
      </c>
      <c r="J284" s="2">
        <v>140</v>
      </c>
      <c r="K284" s="2">
        <v>1.5</v>
      </c>
      <c r="L284" s="2">
        <v>210</v>
      </c>
      <c r="M284" s="2">
        <v>0</v>
      </c>
    </row>
    <row r="285" spans="1:13" x14ac:dyDescent="0.2">
      <c r="A285" s="2" t="s">
        <v>861</v>
      </c>
      <c r="B285" s="2" t="s">
        <v>862</v>
      </c>
      <c r="C285" s="2" t="s">
        <v>54</v>
      </c>
      <c r="D285" s="2" t="s">
        <v>52</v>
      </c>
      <c r="E285" s="2" t="s">
        <v>4128</v>
      </c>
      <c r="F285" s="5"/>
      <c r="G285" s="4">
        <v>0</v>
      </c>
      <c r="H285" s="4"/>
      <c r="I285" s="2" t="s">
        <v>29</v>
      </c>
      <c r="J285" s="2">
        <v>140</v>
      </c>
      <c r="K285" s="2">
        <v>1.5</v>
      </c>
      <c r="L285" s="2">
        <v>0</v>
      </c>
      <c r="M285" s="2">
        <v>210</v>
      </c>
    </row>
    <row r="286" spans="1:13" x14ac:dyDescent="0.2">
      <c r="A286" s="2" t="s">
        <v>869</v>
      </c>
      <c r="B286" s="2" t="s">
        <v>870</v>
      </c>
      <c r="C286" s="2" t="s">
        <v>94</v>
      </c>
      <c r="D286" s="2" t="s">
        <v>52</v>
      </c>
      <c r="E286" s="2" t="s">
        <v>4128</v>
      </c>
      <c r="F286" s="5"/>
      <c r="G286" s="4">
        <v>0</v>
      </c>
      <c r="H286" s="4"/>
      <c r="I286" s="2" t="s">
        <v>29</v>
      </c>
      <c r="J286" s="2">
        <v>140</v>
      </c>
      <c r="K286" s="2">
        <v>1.5</v>
      </c>
      <c r="L286" s="2">
        <v>0</v>
      </c>
      <c r="M286" s="2">
        <v>210</v>
      </c>
    </row>
    <row r="287" spans="1:13" x14ac:dyDescent="0.2">
      <c r="A287" s="2" t="s">
        <v>421</v>
      </c>
      <c r="B287" s="2" t="s">
        <v>422</v>
      </c>
      <c r="C287" s="2" t="s">
        <v>54</v>
      </c>
      <c r="D287" s="2" t="s">
        <v>52</v>
      </c>
      <c r="E287" s="2" t="s">
        <v>4128</v>
      </c>
      <c r="F287" s="5"/>
      <c r="G287" s="4">
        <v>0</v>
      </c>
      <c r="H287" s="4"/>
      <c r="I287" s="2" t="s">
        <v>29</v>
      </c>
      <c r="J287" s="2">
        <v>140</v>
      </c>
      <c r="K287" s="2">
        <v>1.5</v>
      </c>
      <c r="L287" s="2">
        <v>345</v>
      </c>
      <c r="M287" s="2">
        <v>0</v>
      </c>
    </row>
    <row r="288" spans="1:13" x14ac:dyDescent="0.2">
      <c r="A288" s="2" t="s">
        <v>267</v>
      </c>
      <c r="B288" s="2" t="s">
        <v>268</v>
      </c>
      <c r="C288" s="2" t="s">
        <v>54</v>
      </c>
      <c r="D288" s="2" t="s">
        <v>52</v>
      </c>
      <c r="E288" s="2" t="s">
        <v>4128</v>
      </c>
      <c r="F288" s="5"/>
      <c r="G288" s="4">
        <v>0</v>
      </c>
      <c r="H288" s="4"/>
      <c r="I288" s="2" t="s">
        <v>29</v>
      </c>
      <c r="J288" s="2">
        <v>140</v>
      </c>
      <c r="K288" s="2">
        <v>1.5</v>
      </c>
      <c r="L288" s="2">
        <v>210</v>
      </c>
      <c r="M288" s="2">
        <v>0</v>
      </c>
    </row>
    <row r="289" spans="1:13" x14ac:dyDescent="0.2">
      <c r="A289" s="2" t="s">
        <v>993</v>
      </c>
      <c r="B289" s="2" t="s">
        <v>994</v>
      </c>
      <c r="C289" s="2" t="s">
        <v>19</v>
      </c>
      <c r="D289" s="2" t="s">
        <v>52</v>
      </c>
      <c r="E289" s="2" t="s">
        <v>4128</v>
      </c>
      <c r="F289" s="5"/>
      <c r="G289" s="4">
        <v>0</v>
      </c>
      <c r="H289" s="4"/>
      <c r="I289" s="2" t="s">
        <v>29</v>
      </c>
      <c r="J289" s="2">
        <v>140</v>
      </c>
      <c r="K289" s="2">
        <v>1.5</v>
      </c>
      <c r="L289" s="2">
        <v>345</v>
      </c>
      <c r="M289" s="2">
        <v>0</v>
      </c>
    </row>
    <row r="290" spans="1:13" x14ac:dyDescent="0.2">
      <c r="A290" s="2" t="s">
        <v>3970</v>
      </c>
      <c r="B290" s="2" t="s">
        <v>3971</v>
      </c>
      <c r="C290" s="2" t="s">
        <v>54</v>
      </c>
      <c r="D290" s="2" t="s">
        <v>52</v>
      </c>
      <c r="E290" s="2" t="s">
        <v>4128</v>
      </c>
      <c r="F290" s="5"/>
      <c r="G290" s="4">
        <v>0</v>
      </c>
      <c r="H290" s="4"/>
      <c r="I290" s="2" t="s">
        <v>29</v>
      </c>
      <c r="J290" s="2">
        <v>140</v>
      </c>
      <c r="K290" s="2">
        <v>1.5</v>
      </c>
      <c r="L290" s="2">
        <v>0</v>
      </c>
      <c r="M290" s="2">
        <v>210</v>
      </c>
    </row>
    <row r="291" spans="1:13" x14ac:dyDescent="0.2">
      <c r="A291" s="2" t="s">
        <v>271</v>
      </c>
      <c r="B291" s="2" t="s">
        <v>272</v>
      </c>
      <c r="C291" s="2" t="s">
        <v>7</v>
      </c>
      <c r="D291" s="2" t="s">
        <v>52</v>
      </c>
      <c r="E291" s="2" t="s">
        <v>4128</v>
      </c>
      <c r="F291" s="5"/>
      <c r="G291" s="4">
        <v>0</v>
      </c>
      <c r="H291" s="4"/>
      <c r="I291" s="2" t="s">
        <v>29</v>
      </c>
      <c r="J291" s="2">
        <v>140</v>
      </c>
      <c r="K291" s="2">
        <v>1.5</v>
      </c>
      <c r="L291" s="2">
        <v>210</v>
      </c>
      <c r="M291" s="2">
        <v>0</v>
      </c>
    </row>
    <row r="292" spans="1:13" x14ac:dyDescent="0.2">
      <c r="A292" s="2" t="s">
        <v>1333</v>
      </c>
      <c r="B292" s="2" t="s">
        <v>1334</v>
      </c>
      <c r="C292" s="2" t="s">
        <v>7</v>
      </c>
      <c r="D292" s="2" t="s">
        <v>52</v>
      </c>
      <c r="E292" s="2" t="s">
        <v>4128</v>
      </c>
      <c r="F292" s="5"/>
      <c r="G292" s="4">
        <v>0</v>
      </c>
      <c r="H292" s="4"/>
      <c r="I292" s="2" t="s">
        <v>29</v>
      </c>
      <c r="J292" s="2">
        <v>140</v>
      </c>
      <c r="K292" s="2">
        <v>1.5</v>
      </c>
      <c r="L292" s="2">
        <v>810</v>
      </c>
      <c r="M292" s="2">
        <v>0</v>
      </c>
    </row>
    <row r="293" spans="1:13" x14ac:dyDescent="0.2">
      <c r="A293" s="2" t="s">
        <v>3410</v>
      </c>
      <c r="B293" s="2" t="s">
        <v>3411</v>
      </c>
      <c r="C293" s="2" t="s">
        <v>94</v>
      </c>
      <c r="D293" s="2" t="s">
        <v>52</v>
      </c>
      <c r="E293" s="2" t="s">
        <v>4128</v>
      </c>
      <c r="F293" s="5"/>
      <c r="G293" s="4">
        <v>0</v>
      </c>
      <c r="H293" s="4"/>
      <c r="I293" s="2" t="s">
        <v>29</v>
      </c>
      <c r="J293" s="2">
        <v>140</v>
      </c>
      <c r="K293" s="2">
        <v>1.5</v>
      </c>
      <c r="L293" s="2">
        <v>0</v>
      </c>
      <c r="M293" s="2">
        <v>210</v>
      </c>
    </row>
    <row r="294" spans="1:13" x14ac:dyDescent="0.2">
      <c r="A294" s="2" t="s">
        <v>3972</v>
      </c>
      <c r="B294" s="2" t="s">
        <v>3973</v>
      </c>
      <c r="C294" s="2" t="s">
        <v>66</v>
      </c>
      <c r="D294" s="2" t="s">
        <v>52</v>
      </c>
      <c r="E294" s="2" t="s">
        <v>4128</v>
      </c>
      <c r="F294" s="5"/>
      <c r="G294" s="4">
        <v>0</v>
      </c>
      <c r="H294" s="4"/>
      <c r="I294" s="2" t="s">
        <v>29</v>
      </c>
      <c r="J294" s="2">
        <v>140</v>
      </c>
      <c r="K294" s="2">
        <v>1.5</v>
      </c>
      <c r="L294" s="2">
        <v>0</v>
      </c>
      <c r="M294" s="2">
        <v>210</v>
      </c>
    </row>
    <row r="295" spans="1:13" x14ac:dyDescent="0.2">
      <c r="A295" s="2" t="s">
        <v>879</v>
      </c>
      <c r="B295" s="2" t="s">
        <v>880</v>
      </c>
      <c r="C295" s="2" t="s">
        <v>94</v>
      </c>
      <c r="D295" s="2" t="s">
        <v>52</v>
      </c>
      <c r="E295" s="2" t="s">
        <v>4128</v>
      </c>
      <c r="F295" s="5"/>
      <c r="G295" s="4">
        <v>0</v>
      </c>
      <c r="H295" s="4"/>
      <c r="I295" s="2" t="s">
        <v>29</v>
      </c>
      <c r="J295" s="2">
        <v>140</v>
      </c>
      <c r="K295" s="2">
        <v>1.5</v>
      </c>
      <c r="L295" s="2">
        <v>0</v>
      </c>
      <c r="M295" s="2">
        <v>210</v>
      </c>
    </row>
    <row r="296" spans="1:13" x14ac:dyDescent="0.2">
      <c r="A296" s="2" t="s">
        <v>909</v>
      </c>
      <c r="B296" s="2" t="s">
        <v>910</v>
      </c>
      <c r="C296" s="2" t="s">
        <v>7</v>
      </c>
      <c r="D296" s="2" t="s">
        <v>52</v>
      </c>
      <c r="E296" s="2" t="s">
        <v>4128</v>
      </c>
      <c r="F296" s="5"/>
      <c r="G296" s="4">
        <v>0</v>
      </c>
      <c r="H296" s="4"/>
      <c r="I296" s="2" t="s">
        <v>29</v>
      </c>
      <c r="J296" s="2">
        <v>140</v>
      </c>
      <c r="K296" s="2">
        <v>1.5</v>
      </c>
      <c r="L296" s="2">
        <v>0</v>
      </c>
      <c r="M296" s="2">
        <v>210</v>
      </c>
    </row>
    <row r="297" spans="1:13" x14ac:dyDescent="0.2">
      <c r="A297" s="2" t="s">
        <v>3974</v>
      </c>
      <c r="B297" s="2" t="s">
        <v>3975</v>
      </c>
      <c r="C297" s="2" t="s">
        <v>91</v>
      </c>
      <c r="D297" s="2" t="s">
        <v>52</v>
      </c>
      <c r="E297" s="2" t="s">
        <v>4128</v>
      </c>
      <c r="F297" s="5"/>
      <c r="G297" s="4">
        <v>0</v>
      </c>
      <c r="H297" s="4"/>
      <c r="I297" s="2" t="s">
        <v>29</v>
      </c>
      <c r="J297" s="2">
        <v>140</v>
      </c>
      <c r="K297" s="2">
        <v>1.5</v>
      </c>
      <c r="L297" s="2">
        <v>0</v>
      </c>
      <c r="M297" s="2">
        <v>210</v>
      </c>
    </row>
    <row r="298" spans="1:13" x14ac:dyDescent="0.2">
      <c r="A298" s="2" t="s">
        <v>3412</v>
      </c>
      <c r="B298" s="2" t="s">
        <v>3413</v>
      </c>
      <c r="C298" s="2" t="s">
        <v>4126</v>
      </c>
      <c r="D298" s="2" t="s">
        <v>52</v>
      </c>
      <c r="E298" s="2" t="s">
        <v>4128</v>
      </c>
      <c r="F298" s="5"/>
      <c r="G298" s="4">
        <v>0</v>
      </c>
      <c r="H298" s="4"/>
      <c r="I298" s="2" t="s">
        <v>29</v>
      </c>
      <c r="J298" s="2">
        <v>140</v>
      </c>
      <c r="K298" s="2">
        <v>1.5</v>
      </c>
      <c r="L298" s="2">
        <v>0</v>
      </c>
      <c r="M298" s="2">
        <v>210</v>
      </c>
    </row>
    <row r="299" spans="1:13" x14ac:dyDescent="0.2">
      <c r="A299" s="2" t="s">
        <v>889</v>
      </c>
      <c r="B299" s="2" t="s">
        <v>890</v>
      </c>
      <c r="C299" s="2" t="s">
        <v>66</v>
      </c>
      <c r="D299" s="2" t="s">
        <v>52</v>
      </c>
      <c r="E299" s="2" t="s">
        <v>4128</v>
      </c>
      <c r="F299" s="5"/>
      <c r="G299" s="4">
        <v>0</v>
      </c>
      <c r="H299" s="4"/>
      <c r="I299" s="2" t="s">
        <v>29</v>
      </c>
      <c r="J299" s="2">
        <v>140</v>
      </c>
      <c r="K299" s="2">
        <v>1.5</v>
      </c>
      <c r="L299" s="2">
        <v>0</v>
      </c>
      <c r="M299" s="2">
        <v>210</v>
      </c>
    </row>
    <row r="300" spans="1:13" x14ac:dyDescent="0.2">
      <c r="A300" s="2" t="s">
        <v>881</v>
      </c>
      <c r="B300" s="2" t="s">
        <v>882</v>
      </c>
      <c r="C300" s="2" t="s">
        <v>94</v>
      </c>
      <c r="D300" s="2" t="s">
        <v>52</v>
      </c>
      <c r="E300" s="2" t="s">
        <v>4128</v>
      </c>
      <c r="F300" s="5"/>
      <c r="G300" s="4">
        <v>0</v>
      </c>
      <c r="H300" s="4"/>
      <c r="I300" s="2" t="s">
        <v>29</v>
      </c>
      <c r="J300" s="2">
        <v>140</v>
      </c>
      <c r="K300" s="2">
        <v>1.5</v>
      </c>
      <c r="L300" s="2">
        <v>0</v>
      </c>
      <c r="M300" s="2">
        <v>210</v>
      </c>
    </row>
    <row r="301" spans="1:13" x14ac:dyDescent="0.2">
      <c r="A301" s="2" t="s">
        <v>907</v>
      </c>
      <c r="B301" s="2" t="s">
        <v>908</v>
      </c>
      <c r="C301" s="2" t="s">
        <v>4125</v>
      </c>
      <c r="D301" s="2" t="s">
        <v>52</v>
      </c>
      <c r="E301" s="2" t="s">
        <v>4128</v>
      </c>
      <c r="F301" s="5"/>
      <c r="G301" s="4">
        <v>0</v>
      </c>
      <c r="H301" s="4"/>
      <c r="I301" s="2" t="s">
        <v>29</v>
      </c>
      <c r="J301" s="2">
        <v>140</v>
      </c>
      <c r="K301" s="2">
        <v>1.5</v>
      </c>
      <c r="L301" s="2">
        <v>0</v>
      </c>
      <c r="M301" s="2">
        <v>210</v>
      </c>
    </row>
    <row r="302" spans="1:13" x14ac:dyDescent="0.2">
      <c r="A302" s="2" t="s">
        <v>905</v>
      </c>
      <c r="B302" s="2" t="s">
        <v>906</v>
      </c>
      <c r="C302" s="2" t="s">
        <v>94</v>
      </c>
      <c r="D302" s="2" t="s">
        <v>52</v>
      </c>
      <c r="E302" s="2" t="s">
        <v>4128</v>
      </c>
      <c r="F302" s="5"/>
      <c r="G302" s="4">
        <v>0</v>
      </c>
      <c r="H302" s="4"/>
      <c r="I302" s="2" t="s">
        <v>29</v>
      </c>
      <c r="J302" s="2">
        <v>140</v>
      </c>
      <c r="K302" s="2">
        <v>1.5</v>
      </c>
      <c r="L302" s="2">
        <v>0</v>
      </c>
      <c r="M302" s="2">
        <v>210</v>
      </c>
    </row>
    <row r="303" spans="1:13" x14ac:dyDescent="0.2">
      <c r="A303" s="4" t="s">
        <v>3414</v>
      </c>
      <c r="B303" s="4" t="s">
        <v>3415</v>
      </c>
      <c r="C303" s="4" t="s">
        <v>4124</v>
      </c>
      <c r="D303" s="4" t="s">
        <v>63</v>
      </c>
      <c r="E303" s="4" t="s">
        <v>88</v>
      </c>
      <c r="F303" s="5"/>
      <c r="G303" s="4">
        <v>0</v>
      </c>
      <c r="H303" s="4"/>
      <c r="I303" s="4" t="s">
        <v>29</v>
      </c>
      <c r="J303" s="4">
        <v>140</v>
      </c>
      <c r="K303" s="4">
        <v>1.5</v>
      </c>
      <c r="L303" s="4">
        <v>0</v>
      </c>
      <c r="M303" s="4">
        <v>210</v>
      </c>
    </row>
    <row r="304" spans="1:13" x14ac:dyDescent="0.2">
      <c r="A304" s="2" t="s">
        <v>925</v>
      </c>
      <c r="B304" s="2" t="s">
        <v>926</v>
      </c>
      <c r="C304" s="2" t="s">
        <v>1366</v>
      </c>
      <c r="D304" s="2" t="s">
        <v>52</v>
      </c>
      <c r="E304" s="2" t="s">
        <v>4128</v>
      </c>
      <c r="F304" s="5"/>
      <c r="G304" s="4">
        <v>0</v>
      </c>
      <c r="H304" s="4"/>
      <c r="I304" s="2" t="s">
        <v>29</v>
      </c>
      <c r="J304" s="2">
        <v>140</v>
      </c>
      <c r="K304" s="2">
        <v>1.5</v>
      </c>
      <c r="L304" s="2">
        <v>0</v>
      </c>
      <c r="M304" s="2">
        <v>210</v>
      </c>
    </row>
    <row r="305" spans="1:13" x14ac:dyDescent="0.2">
      <c r="A305" s="4" t="s">
        <v>3416</v>
      </c>
      <c r="B305" s="4" t="s">
        <v>3417</v>
      </c>
      <c r="C305" s="4" t="s">
        <v>4124</v>
      </c>
      <c r="D305" s="4" t="s">
        <v>63</v>
      </c>
      <c r="E305" s="4" t="s">
        <v>88</v>
      </c>
      <c r="F305" s="5"/>
      <c r="G305" s="4">
        <v>0</v>
      </c>
      <c r="H305" s="4"/>
      <c r="I305" s="4" t="s">
        <v>29</v>
      </c>
      <c r="J305" s="4">
        <v>140</v>
      </c>
      <c r="K305" s="4">
        <v>1.5</v>
      </c>
      <c r="L305" s="4">
        <v>0</v>
      </c>
      <c r="M305" s="4">
        <v>210</v>
      </c>
    </row>
    <row r="306" spans="1:13" x14ac:dyDescent="0.2">
      <c r="A306" s="2" t="s">
        <v>883</v>
      </c>
      <c r="B306" s="2" t="s">
        <v>884</v>
      </c>
      <c r="C306" s="2" t="s">
        <v>91</v>
      </c>
      <c r="D306" s="2" t="s">
        <v>52</v>
      </c>
      <c r="E306" s="2" t="s">
        <v>4128</v>
      </c>
      <c r="F306" s="5"/>
      <c r="G306" s="4">
        <v>0</v>
      </c>
      <c r="H306" s="4"/>
      <c r="I306" s="2" t="s">
        <v>29</v>
      </c>
      <c r="J306" s="2">
        <v>140</v>
      </c>
      <c r="K306" s="2">
        <v>1.5</v>
      </c>
      <c r="L306" s="2">
        <v>0</v>
      </c>
      <c r="M306" s="2">
        <v>210</v>
      </c>
    </row>
    <row r="307" spans="1:13" x14ac:dyDescent="0.2">
      <c r="A307" s="2" t="s">
        <v>885</v>
      </c>
      <c r="B307" s="2" t="s">
        <v>886</v>
      </c>
      <c r="C307" s="2" t="s">
        <v>1366</v>
      </c>
      <c r="D307" s="2" t="s">
        <v>52</v>
      </c>
      <c r="E307" s="2" t="s">
        <v>4128</v>
      </c>
      <c r="F307" s="5"/>
      <c r="G307" s="4">
        <v>0</v>
      </c>
      <c r="H307" s="4"/>
      <c r="I307" s="2" t="s">
        <v>29</v>
      </c>
      <c r="J307" s="2">
        <v>140</v>
      </c>
      <c r="K307" s="2">
        <v>1.5</v>
      </c>
      <c r="L307" s="2">
        <v>0</v>
      </c>
      <c r="M307" s="2">
        <v>210</v>
      </c>
    </row>
    <row r="308" spans="1:13" x14ac:dyDescent="0.2">
      <c r="A308" s="2" t="s">
        <v>275</v>
      </c>
      <c r="B308" s="2" t="s">
        <v>276</v>
      </c>
      <c r="C308" s="2" t="s">
        <v>94</v>
      </c>
      <c r="D308" s="2" t="s">
        <v>52</v>
      </c>
      <c r="E308" s="2" t="s">
        <v>4128</v>
      </c>
      <c r="F308" s="5"/>
      <c r="G308" s="4">
        <v>0</v>
      </c>
      <c r="H308" s="4"/>
      <c r="I308" s="2" t="s">
        <v>29</v>
      </c>
      <c r="J308" s="2">
        <v>140</v>
      </c>
      <c r="K308" s="2">
        <v>1.5</v>
      </c>
      <c r="L308" s="2">
        <v>210</v>
      </c>
      <c r="M308" s="2">
        <v>0</v>
      </c>
    </row>
    <row r="309" spans="1:13" x14ac:dyDescent="0.2">
      <c r="A309" s="2" t="s">
        <v>3418</v>
      </c>
      <c r="B309" s="2" t="s">
        <v>3419</v>
      </c>
      <c r="C309" s="2" t="s">
        <v>91</v>
      </c>
      <c r="D309" s="2" t="s">
        <v>52</v>
      </c>
      <c r="E309" s="2" t="s">
        <v>4128</v>
      </c>
      <c r="F309" s="5"/>
      <c r="G309" s="4">
        <v>0</v>
      </c>
      <c r="H309" s="4"/>
      <c r="I309" s="2" t="s">
        <v>29</v>
      </c>
      <c r="J309" s="2">
        <v>140</v>
      </c>
      <c r="K309" s="2">
        <v>1.5</v>
      </c>
      <c r="L309" s="2">
        <v>0</v>
      </c>
      <c r="M309" s="2">
        <v>210</v>
      </c>
    </row>
    <row r="310" spans="1:13" x14ac:dyDescent="0.2">
      <c r="A310" s="2" t="s">
        <v>3976</v>
      </c>
      <c r="B310" s="2" t="s">
        <v>3977</v>
      </c>
      <c r="C310" s="2" t="s">
        <v>66</v>
      </c>
      <c r="D310" s="2" t="s">
        <v>52</v>
      </c>
      <c r="E310" s="2" t="s">
        <v>4128</v>
      </c>
      <c r="F310" s="5"/>
      <c r="G310" s="4">
        <v>0</v>
      </c>
      <c r="H310" s="4"/>
      <c r="I310" s="2" t="s">
        <v>29</v>
      </c>
      <c r="J310" s="2">
        <v>140</v>
      </c>
      <c r="K310" s="2">
        <v>1.5</v>
      </c>
      <c r="L310" s="2">
        <v>600</v>
      </c>
      <c r="M310" s="2">
        <v>0</v>
      </c>
    </row>
    <row r="311" spans="1:13" x14ac:dyDescent="0.2">
      <c r="A311" s="2" t="s">
        <v>3420</v>
      </c>
      <c r="B311" s="2" t="s">
        <v>3421</v>
      </c>
      <c r="C311" s="2" t="s">
        <v>592</v>
      </c>
      <c r="D311" s="2" t="s">
        <v>52</v>
      </c>
      <c r="E311" s="2" t="s">
        <v>4128</v>
      </c>
      <c r="F311" s="5"/>
      <c r="G311" s="4">
        <v>0</v>
      </c>
      <c r="H311" s="4"/>
      <c r="I311" s="2" t="s">
        <v>29</v>
      </c>
      <c r="J311" s="2">
        <v>140</v>
      </c>
      <c r="K311" s="2">
        <v>1.5</v>
      </c>
      <c r="L311" s="2">
        <v>0</v>
      </c>
      <c r="M311" s="2">
        <v>210</v>
      </c>
    </row>
    <row r="312" spans="1:13" x14ac:dyDescent="0.2">
      <c r="A312" s="2" t="s">
        <v>3422</v>
      </c>
      <c r="B312" s="2" t="s">
        <v>3423</v>
      </c>
      <c r="C312" s="2" t="s">
        <v>19</v>
      </c>
      <c r="D312" s="2" t="s">
        <v>52</v>
      </c>
      <c r="E312" s="2" t="s">
        <v>4128</v>
      </c>
      <c r="F312" s="5"/>
      <c r="G312" s="4">
        <v>0</v>
      </c>
      <c r="H312" s="4"/>
      <c r="I312" s="2" t="s">
        <v>29</v>
      </c>
      <c r="J312" s="2">
        <v>140</v>
      </c>
      <c r="K312" s="2">
        <v>1.5</v>
      </c>
      <c r="L312" s="2">
        <v>0</v>
      </c>
      <c r="M312" s="2">
        <v>210</v>
      </c>
    </row>
    <row r="313" spans="1:13" x14ac:dyDescent="0.2">
      <c r="A313" s="2" t="s">
        <v>921</v>
      </c>
      <c r="B313" s="2" t="s">
        <v>922</v>
      </c>
      <c r="C313" s="2" t="s">
        <v>7</v>
      </c>
      <c r="D313" s="2" t="s">
        <v>52</v>
      </c>
      <c r="E313" s="2" t="s">
        <v>4128</v>
      </c>
      <c r="F313" s="5"/>
      <c r="G313" s="4">
        <v>0</v>
      </c>
      <c r="H313" s="4"/>
      <c r="I313" s="2" t="s">
        <v>29</v>
      </c>
      <c r="J313" s="2">
        <v>140</v>
      </c>
      <c r="K313" s="2">
        <v>1.5</v>
      </c>
      <c r="L313" s="2">
        <v>0</v>
      </c>
      <c r="M313" s="2">
        <v>210</v>
      </c>
    </row>
    <row r="314" spans="1:13" x14ac:dyDescent="0.2">
      <c r="A314" s="2" t="s">
        <v>3978</v>
      </c>
      <c r="B314" s="2" t="s">
        <v>3979</v>
      </c>
      <c r="C314" s="2" t="s">
        <v>19</v>
      </c>
      <c r="D314" s="2" t="s">
        <v>52</v>
      </c>
      <c r="E314" s="2" t="s">
        <v>4128</v>
      </c>
      <c r="F314" s="5"/>
      <c r="G314" s="4">
        <v>0</v>
      </c>
      <c r="H314" s="4"/>
      <c r="I314" s="2" t="s">
        <v>29</v>
      </c>
      <c r="J314" s="2">
        <v>140</v>
      </c>
      <c r="K314" s="2">
        <v>1.5</v>
      </c>
      <c r="L314" s="2">
        <v>0</v>
      </c>
      <c r="M314" s="2">
        <v>210</v>
      </c>
    </row>
    <row r="315" spans="1:13" x14ac:dyDescent="0.2">
      <c r="A315" s="2" t="s">
        <v>911</v>
      </c>
      <c r="B315" s="2" t="s">
        <v>912</v>
      </c>
      <c r="C315" s="2" t="s">
        <v>94</v>
      </c>
      <c r="D315" s="2" t="s">
        <v>52</v>
      </c>
      <c r="E315" s="2" t="s">
        <v>4128</v>
      </c>
      <c r="F315" s="5"/>
      <c r="G315" s="4">
        <v>0</v>
      </c>
      <c r="H315" s="4"/>
      <c r="I315" s="2" t="s">
        <v>29</v>
      </c>
      <c r="J315" s="2">
        <v>140</v>
      </c>
      <c r="K315" s="2">
        <v>1.5</v>
      </c>
      <c r="L315" s="2">
        <v>0</v>
      </c>
      <c r="M315" s="2">
        <v>210</v>
      </c>
    </row>
    <row r="316" spans="1:13" x14ac:dyDescent="0.2">
      <c r="A316" s="2" t="s">
        <v>289</v>
      </c>
      <c r="B316" s="2" t="s">
        <v>290</v>
      </c>
      <c r="C316" s="2" t="s">
        <v>94</v>
      </c>
      <c r="D316" s="2" t="s">
        <v>52</v>
      </c>
      <c r="E316" s="2" t="s">
        <v>4128</v>
      </c>
      <c r="F316" s="5"/>
      <c r="G316" s="4">
        <v>0</v>
      </c>
      <c r="H316" s="4"/>
      <c r="I316" s="2" t="s">
        <v>29</v>
      </c>
      <c r="J316" s="2">
        <v>140</v>
      </c>
      <c r="K316" s="2">
        <v>1.5</v>
      </c>
      <c r="L316" s="2">
        <v>210</v>
      </c>
      <c r="M316" s="2">
        <v>0</v>
      </c>
    </row>
    <row r="317" spans="1:13" x14ac:dyDescent="0.2">
      <c r="A317" s="2" t="s">
        <v>571</v>
      </c>
      <c r="B317" s="2" t="s">
        <v>572</v>
      </c>
      <c r="C317" s="2" t="s">
        <v>94</v>
      </c>
      <c r="D317" s="2" t="s">
        <v>52</v>
      </c>
      <c r="E317" s="2" t="s">
        <v>4128</v>
      </c>
      <c r="F317" s="5"/>
      <c r="G317" s="4">
        <v>0</v>
      </c>
      <c r="H317" s="4"/>
      <c r="I317" s="2" t="s">
        <v>29</v>
      </c>
      <c r="J317" s="2">
        <v>140</v>
      </c>
      <c r="K317" s="2">
        <v>1.5</v>
      </c>
      <c r="L317" s="2">
        <v>600</v>
      </c>
      <c r="M317" s="2">
        <v>0</v>
      </c>
    </row>
    <row r="318" spans="1:13" x14ac:dyDescent="0.2">
      <c r="A318" s="2" t="s">
        <v>283</v>
      </c>
      <c r="B318" s="2" t="s">
        <v>284</v>
      </c>
      <c r="C318" s="2" t="s">
        <v>19</v>
      </c>
      <c r="D318" s="2" t="s">
        <v>52</v>
      </c>
      <c r="E318" s="2" t="s">
        <v>4128</v>
      </c>
      <c r="F318" s="5"/>
      <c r="G318" s="4">
        <v>0</v>
      </c>
      <c r="H318" s="4"/>
      <c r="I318" s="2" t="s">
        <v>29</v>
      </c>
      <c r="J318" s="2">
        <v>140</v>
      </c>
      <c r="K318" s="2">
        <v>1.5</v>
      </c>
      <c r="L318" s="2">
        <v>210</v>
      </c>
      <c r="M318" s="2">
        <v>0</v>
      </c>
    </row>
    <row r="319" spans="1:13" x14ac:dyDescent="0.2">
      <c r="A319" s="2" t="s">
        <v>491</v>
      </c>
      <c r="B319" s="2" t="s">
        <v>492</v>
      </c>
      <c r="C319" s="2" t="s">
        <v>94</v>
      </c>
      <c r="D319" s="2" t="s">
        <v>52</v>
      </c>
      <c r="E319" s="2" t="s">
        <v>4128</v>
      </c>
      <c r="F319" s="5"/>
      <c r="G319" s="4">
        <v>0</v>
      </c>
      <c r="H319" s="4"/>
      <c r="I319" s="2" t="s">
        <v>29</v>
      </c>
      <c r="J319" s="2">
        <v>140</v>
      </c>
      <c r="K319" s="2">
        <v>1.5</v>
      </c>
      <c r="L319" s="2">
        <v>345</v>
      </c>
      <c r="M319" s="2">
        <v>0</v>
      </c>
    </row>
    <row r="320" spans="1:13" x14ac:dyDescent="0.2">
      <c r="A320" s="4" t="s">
        <v>293</v>
      </c>
      <c r="B320" s="4" t="s">
        <v>294</v>
      </c>
      <c r="C320" s="4" t="s">
        <v>4124</v>
      </c>
      <c r="D320" s="4" t="s">
        <v>52</v>
      </c>
      <c r="E320" s="4" t="s">
        <v>88</v>
      </c>
      <c r="F320" s="5"/>
      <c r="G320" s="4">
        <v>0</v>
      </c>
      <c r="H320" s="4"/>
      <c r="I320" s="4" t="s">
        <v>29</v>
      </c>
      <c r="J320" s="4">
        <v>140</v>
      </c>
      <c r="K320" s="4">
        <v>1.5</v>
      </c>
      <c r="L320" s="4">
        <v>210</v>
      </c>
      <c r="M320" s="4">
        <v>0</v>
      </c>
    </row>
    <row r="321" spans="1:13" x14ac:dyDescent="0.2">
      <c r="A321" s="2" t="s">
        <v>3980</v>
      </c>
      <c r="B321" s="2" t="s">
        <v>3981</v>
      </c>
      <c r="C321" s="2" t="s">
        <v>66</v>
      </c>
      <c r="D321" s="2" t="s">
        <v>52</v>
      </c>
      <c r="E321" s="2" t="s">
        <v>4128</v>
      </c>
      <c r="F321" s="5"/>
      <c r="G321" s="4">
        <v>0</v>
      </c>
      <c r="H321" s="4"/>
      <c r="I321" s="2" t="s">
        <v>29</v>
      </c>
      <c r="J321" s="2">
        <v>140</v>
      </c>
      <c r="K321" s="2">
        <v>1.5</v>
      </c>
      <c r="L321" s="2">
        <v>0</v>
      </c>
      <c r="M321" s="2">
        <v>210</v>
      </c>
    </row>
    <row r="322" spans="1:13" x14ac:dyDescent="0.2">
      <c r="A322" s="2" t="s">
        <v>3982</v>
      </c>
      <c r="B322" s="2" t="s">
        <v>3983</v>
      </c>
      <c r="C322" s="2" t="s">
        <v>94</v>
      </c>
      <c r="D322" s="2" t="s">
        <v>52</v>
      </c>
      <c r="E322" s="2" t="s">
        <v>4128</v>
      </c>
      <c r="F322" s="5"/>
      <c r="G322" s="4">
        <v>0</v>
      </c>
      <c r="H322" s="4"/>
      <c r="I322" s="2" t="s">
        <v>29</v>
      </c>
      <c r="J322" s="2">
        <v>140</v>
      </c>
      <c r="K322" s="2">
        <v>1.5</v>
      </c>
      <c r="L322" s="2">
        <v>0</v>
      </c>
      <c r="M322" s="2">
        <v>210</v>
      </c>
    </row>
    <row r="323" spans="1:13" x14ac:dyDescent="0.2">
      <c r="A323" s="2" t="s">
        <v>3984</v>
      </c>
      <c r="B323" s="2" t="s">
        <v>3985</v>
      </c>
      <c r="C323" s="2" t="s">
        <v>66</v>
      </c>
      <c r="D323" s="2" t="s">
        <v>52</v>
      </c>
      <c r="E323" s="2" t="s">
        <v>4128</v>
      </c>
      <c r="F323" s="5"/>
      <c r="G323" s="4">
        <v>0</v>
      </c>
      <c r="H323" s="4"/>
      <c r="I323" s="2" t="s">
        <v>29</v>
      </c>
      <c r="J323" s="2">
        <v>140</v>
      </c>
      <c r="K323" s="2">
        <v>1.5</v>
      </c>
      <c r="L323" s="2">
        <v>0</v>
      </c>
      <c r="M323" s="2">
        <v>210</v>
      </c>
    </row>
    <row r="324" spans="1:13" x14ac:dyDescent="0.2">
      <c r="A324" s="2" t="s">
        <v>3986</v>
      </c>
      <c r="B324" s="2" t="s">
        <v>3987</v>
      </c>
      <c r="C324" s="2" t="s">
        <v>592</v>
      </c>
      <c r="D324" s="2" t="s">
        <v>52</v>
      </c>
      <c r="E324" s="2" t="s">
        <v>4128</v>
      </c>
      <c r="F324" s="5"/>
      <c r="G324" s="4">
        <v>0</v>
      </c>
      <c r="H324" s="4"/>
      <c r="I324" s="2" t="s">
        <v>29</v>
      </c>
      <c r="J324" s="2">
        <v>140</v>
      </c>
      <c r="K324" s="2">
        <v>1.5</v>
      </c>
      <c r="L324" s="2">
        <v>0</v>
      </c>
      <c r="M324" s="2">
        <v>210</v>
      </c>
    </row>
    <row r="325" spans="1:13" x14ac:dyDescent="0.2">
      <c r="A325" s="2" t="s">
        <v>3988</v>
      </c>
      <c r="B325" s="2" t="s">
        <v>3989</v>
      </c>
      <c r="C325" s="2" t="s">
        <v>94</v>
      </c>
      <c r="D325" s="2" t="s">
        <v>52</v>
      </c>
      <c r="E325" s="2" t="s">
        <v>4128</v>
      </c>
      <c r="F325" s="5"/>
      <c r="G325" s="4">
        <v>0</v>
      </c>
      <c r="H325" s="4"/>
      <c r="I325" s="2" t="s">
        <v>29</v>
      </c>
      <c r="J325" s="2">
        <v>140</v>
      </c>
      <c r="K325" s="2">
        <v>1.5</v>
      </c>
      <c r="L325" s="2">
        <v>0</v>
      </c>
      <c r="M325" s="2">
        <v>210</v>
      </c>
    </row>
    <row r="326" spans="1:13" x14ac:dyDescent="0.2">
      <c r="A326" s="2" t="s">
        <v>295</v>
      </c>
      <c r="B326" s="2" t="s">
        <v>296</v>
      </c>
      <c r="C326" s="2" t="s">
        <v>19</v>
      </c>
      <c r="D326" s="2" t="s">
        <v>52</v>
      </c>
      <c r="E326" s="2" t="s">
        <v>4128</v>
      </c>
      <c r="F326" s="5"/>
      <c r="G326" s="4">
        <v>0</v>
      </c>
      <c r="H326" s="4"/>
      <c r="I326" s="2" t="s">
        <v>29</v>
      </c>
      <c r="J326" s="2">
        <v>140</v>
      </c>
      <c r="K326" s="2">
        <v>1.5</v>
      </c>
      <c r="L326" s="2">
        <v>210</v>
      </c>
      <c r="M326" s="2">
        <v>0</v>
      </c>
    </row>
    <row r="327" spans="1:13" x14ac:dyDescent="0.2">
      <c r="A327" s="2" t="s">
        <v>3990</v>
      </c>
      <c r="B327" s="2" t="s">
        <v>3991</v>
      </c>
      <c r="C327" s="2" t="s">
        <v>94</v>
      </c>
      <c r="D327" s="2" t="s">
        <v>52</v>
      </c>
      <c r="E327" s="2" t="s">
        <v>4128</v>
      </c>
      <c r="F327" s="5"/>
      <c r="G327" s="4">
        <v>0</v>
      </c>
      <c r="H327" s="4"/>
      <c r="I327" s="2" t="s">
        <v>29</v>
      </c>
      <c r="J327" s="2">
        <v>140</v>
      </c>
      <c r="K327" s="2">
        <v>1.5</v>
      </c>
      <c r="L327" s="2">
        <v>0</v>
      </c>
      <c r="M327" s="2">
        <v>210</v>
      </c>
    </row>
    <row r="328" spans="1:13" x14ac:dyDescent="0.2">
      <c r="A328" s="2" t="s">
        <v>3992</v>
      </c>
      <c r="B328" s="2" t="s">
        <v>3993</v>
      </c>
      <c r="C328" s="2" t="s">
        <v>7</v>
      </c>
      <c r="D328" s="2" t="s">
        <v>52</v>
      </c>
      <c r="E328" s="2" t="s">
        <v>4128</v>
      </c>
      <c r="F328" s="5"/>
      <c r="G328" s="4">
        <v>0</v>
      </c>
      <c r="H328" s="4"/>
      <c r="I328" s="2" t="s">
        <v>29</v>
      </c>
      <c r="J328" s="2">
        <v>140</v>
      </c>
      <c r="K328" s="2">
        <v>1.5</v>
      </c>
      <c r="L328" s="2">
        <v>0</v>
      </c>
      <c r="M328" s="2">
        <v>210</v>
      </c>
    </row>
    <row r="329" spans="1:13" x14ac:dyDescent="0.2">
      <c r="A329" s="2" t="s">
        <v>955</v>
      </c>
      <c r="B329" s="2" t="s">
        <v>956</v>
      </c>
      <c r="C329" s="2" t="s">
        <v>1366</v>
      </c>
      <c r="D329" s="2" t="s">
        <v>52</v>
      </c>
      <c r="E329" s="2" t="s">
        <v>4128</v>
      </c>
      <c r="F329" s="5"/>
      <c r="G329" s="4">
        <v>0</v>
      </c>
      <c r="H329" s="4"/>
      <c r="I329" s="2" t="s">
        <v>29</v>
      </c>
      <c r="J329" s="2">
        <v>140</v>
      </c>
      <c r="K329" s="2">
        <v>1.5</v>
      </c>
      <c r="L329" s="2">
        <v>0</v>
      </c>
      <c r="M329" s="2">
        <v>210</v>
      </c>
    </row>
    <row r="330" spans="1:13" x14ac:dyDescent="0.2">
      <c r="A330" s="2" t="s">
        <v>959</v>
      </c>
      <c r="B330" s="2" t="s">
        <v>960</v>
      </c>
      <c r="C330" s="2" t="s">
        <v>7</v>
      </c>
      <c r="D330" s="2" t="s">
        <v>52</v>
      </c>
      <c r="E330" s="2" t="s">
        <v>4128</v>
      </c>
      <c r="F330" s="5"/>
      <c r="G330" s="4">
        <v>0</v>
      </c>
      <c r="H330" s="4"/>
      <c r="I330" s="2" t="s">
        <v>29</v>
      </c>
      <c r="J330" s="2">
        <v>140</v>
      </c>
      <c r="K330" s="2">
        <v>1.5</v>
      </c>
      <c r="L330" s="2">
        <v>0</v>
      </c>
      <c r="M330" s="2">
        <v>210</v>
      </c>
    </row>
    <row r="331" spans="1:13" x14ac:dyDescent="0.2">
      <c r="A331" s="2" t="s">
        <v>929</v>
      </c>
      <c r="B331" s="2" t="s">
        <v>930</v>
      </c>
      <c r="C331" s="2" t="s">
        <v>7</v>
      </c>
      <c r="D331" s="2" t="s">
        <v>52</v>
      </c>
      <c r="E331" s="2" t="s">
        <v>4128</v>
      </c>
      <c r="F331" s="5"/>
      <c r="G331" s="4">
        <v>0</v>
      </c>
      <c r="H331" s="4"/>
      <c r="I331" s="2" t="s">
        <v>29</v>
      </c>
      <c r="J331" s="2">
        <v>140</v>
      </c>
      <c r="K331" s="2">
        <v>1.5</v>
      </c>
      <c r="L331" s="2">
        <v>0</v>
      </c>
      <c r="M331" s="2">
        <v>210</v>
      </c>
    </row>
    <row r="332" spans="1:13" x14ac:dyDescent="0.2">
      <c r="A332" s="4" t="s">
        <v>931</v>
      </c>
      <c r="B332" s="4" t="s">
        <v>932</v>
      </c>
      <c r="C332" s="4" t="s">
        <v>4124</v>
      </c>
      <c r="D332" s="4" t="s">
        <v>63</v>
      </c>
      <c r="E332" s="4" t="s">
        <v>88</v>
      </c>
      <c r="F332" s="5"/>
      <c r="G332" s="4">
        <v>0</v>
      </c>
      <c r="H332" s="4"/>
      <c r="I332" s="4" t="s">
        <v>29</v>
      </c>
      <c r="J332" s="4">
        <v>140</v>
      </c>
      <c r="K332" s="4">
        <v>1.5</v>
      </c>
      <c r="L332" s="4">
        <v>0</v>
      </c>
      <c r="M332" s="4">
        <v>210</v>
      </c>
    </row>
    <row r="333" spans="1:13" x14ac:dyDescent="0.2">
      <c r="A333" s="2" t="s">
        <v>3424</v>
      </c>
      <c r="B333" s="2" t="s">
        <v>3425</v>
      </c>
      <c r="C333" s="2" t="s">
        <v>7</v>
      </c>
      <c r="D333" s="2" t="s">
        <v>52</v>
      </c>
      <c r="E333" s="2" t="s">
        <v>4128</v>
      </c>
      <c r="F333" s="5"/>
      <c r="G333" s="4">
        <v>0</v>
      </c>
      <c r="H333" s="4"/>
      <c r="I333" s="2" t="s">
        <v>29</v>
      </c>
      <c r="J333" s="2">
        <v>140</v>
      </c>
      <c r="K333" s="2">
        <v>1.5</v>
      </c>
      <c r="L333" s="2">
        <v>0</v>
      </c>
      <c r="M333" s="2">
        <v>210</v>
      </c>
    </row>
    <row r="334" spans="1:13" x14ac:dyDescent="0.2">
      <c r="A334" s="2" t="s">
        <v>3994</v>
      </c>
      <c r="B334" s="2" t="s">
        <v>3995</v>
      </c>
      <c r="C334" s="2" t="s">
        <v>7</v>
      </c>
      <c r="D334" s="2" t="s">
        <v>52</v>
      </c>
      <c r="E334" s="2" t="s">
        <v>4128</v>
      </c>
      <c r="F334" s="5"/>
      <c r="G334" s="4">
        <v>0</v>
      </c>
      <c r="H334" s="4"/>
      <c r="I334" s="2" t="s">
        <v>29</v>
      </c>
      <c r="J334" s="2">
        <v>140</v>
      </c>
      <c r="K334" s="2">
        <v>1.5</v>
      </c>
      <c r="L334" s="2">
        <v>210</v>
      </c>
      <c r="M334" s="2">
        <v>0</v>
      </c>
    </row>
    <row r="335" spans="1:13" x14ac:dyDescent="0.2">
      <c r="A335" s="2" t="s">
        <v>941</v>
      </c>
      <c r="B335" s="2" t="s">
        <v>942</v>
      </c>
      <c r="C335" s="2" t="s">
        <v>7</v>
      </c>
      <c r="D335" s="2" t="s">
        <v>52</v>
      </c>
      <c r="E335" s="2" t="s">
        <v>4128</v>
      </c>
      <c r="F335" s="5"/>
      <c r="G335" s="4">
        <v>0</v>
      </c>
      <c r="H335" s="4"/>
      <c r="I335" s="2" t="s">
        <v>29</v>
      </c>
      <c r="J335" s="2">
        <v>140</v>
      </c>
      <c r="K335" s="2">
        <v>1.5</v>
      </c>
      <c r="L335" s="2">
        <v>0</v>
      </c>
      <c r="M335" s="2">
        <v>210</v>
      </c>
    </row>
    <row r="336" spans="1:13" x14ac:dyDescent="0.2">
      <c r="A336" s="2" t="s">
        <v>433</v>
      </c>
      <c r="B336" s="2" t="s">
        <v>434</v>
      </c>
      <c r="C336" s="2" t="s">
        <v>7</v>
      </c>
      <c r="D336" s="2" t="s">
        <v>52</v>
      </c>
      <c r="E336" s="2" t="s">
        <v>4128</v>
      </c>
      <c r="F336" s="5"/>
      <c r="G336" s="4">
        <v>0</v>
      </c>
      <c r="H336" s="4"/>
      <c r="I336" s="2" t="s">
        <v>29</v>
      </c>
      <c r="J336" s="2">
        <v>140</v>
      </c>
      <c r="K336" s="2">
        <v>1.5</v>
      </c>
      <c r="L336" s="2">
        <v>210</v>
      </c>
      <c r="M336" s="2">
        <v>0</v>
      </c>
    </row>
    <row r="337" spans="1:13" x14ac:dyDescent="0.2">
      <c r="A337" s="2" t="s">
        <v>3996</v>
      </c>
      <c r="B337" s="2" t="s">
        <v>3997</v>
      </c>
      <c r="C337" s="2" t="s">
        <v>66</v>
      </c>
      <c r="D337" s="2" t="s">
        <v>52</v>
      </c>
      <c r="E337" s="2" t="s">
        <v>4128</v>
      </c>
      <c r="F337" s="5"/>
      <c r="G337" s="4">
        <v>0</v>
      </c>
      <c r="H337" s="4"/>
      <c r="I337" s="2" t="s">
        <v>29</v>
      </c>
      <c r="J337" s="2">
        <v>140</v>
      </c>
      <c r="K337" s="2">
        <v>1.5</v>
      </c>
      <c r="L337" s="2">
        <v>0</v>
      </c>
      <c r="M337" s="2">
        <v>210</v>
      </c>
    </row>
    <row r="338" spans="1:13" x14ac:dyDescent="0.2">
      <c r="A338" s="2" t="s">
        <v>945</v>
      </c>
      <c r="B338" s="2" t="s">
        <v>946</v>
      </c>
      <c r="C338" s="2" t="s">
        <v>7</v>
      </c>
      <c r="D338" s="2" t="s">
        <v>52</v>
      </c>
      <c r="E338" s="2" t="s">
        <v>4128</v>
      </c>
      <c r="F338" s="5"/>
      <c r="G338" s="4">
        <v>0</v>
      </c>
      <c r="H338" s="4"/>
      <c r="I338" s="2" t="s">
        <v>29</v>
      </c>
      <c r="J338" s="2">
        <v>140</v>
      </c>
      <c r="K338" s="2">
        <v>1.5</v>
      </c>
      <c r="L338" s="2">
        <v>0</v>
      </c>
      <c r="M338" s="2">
        <v>210</v>
      </c>
    </row>
    <row r="339" spans="1:13" x14ac:dyDescent="0.2">
      <c r="A339" s="2" t="s">
        <v>3426</v>
      </c>
      <c r="B339" s="2" t="s">
        <v>3427</v>
      </c>
      <c r="C339" s="2" t="s">
        <v>7</v>
      </c>
      <c r="D339" s="2" t="s">
        <v>52</v>
      </c>
      <c r="E339" s="2" t="s">
        <v>4128</v>
      </c>
      <c r="F339" s="5"/>
      <c r="G339" s="4">
        <v>0</v>
      </c>
      <c r="H339" s="4"/>
      <c r="I339" s="2" t="s">
        <v>29</v>
      </c>
      <c r="J339" s="2">
        <v>140</v>
      </c>
      <c r="K339" s="2">
        <v>1.5</v>
      </c>
      <c r="L339" s="2">
        <v>0</v>
      </c>
      <c r="M339" s="2">
        <v>210</v>
      </c>
    </row>
    <row r="340" spans="1:13" x14ac:dyDescent="0.2">
      <c r="A340" s="2" t="s">
        <v>3998</v>
      </c>
      <c r="B340" s="2" t="s">
        <v>3999</v>
      </c>
      <c r="C340" s="2" t="s">
        <v>592</v>
      </c>
      <c r="D340" s="2" t="s">
        <v>52</v>
      </c>
      <c r="E340" s="2" t="s">
        <v>4128</v>
      </c>
      <c r="F340" s="5"/>
      <c r="G340" s="4">
        <v>0</v>
      </c>
      <c r="H340" s="4"/>
      <c r="I340" s="2" t="s">
        <v>29</v>
      </c>
      <c r="J340" s="2">
        <v>140</v>
      </c>
      <c r="K340" s="2">
        <v>1.5</v>
      </c>
      <c r="L340" s="2">
        <v>0</v>
      </c>
      <c r="M340" s="2">
        <v>210</v>
      </c>
    </row>
    <row r="341" spans="1:13" x14ac:dyDescent="0.2">
      <c r="A341" s="2" t="s">
        <v>935</v>
      </c>
      <c r="B341" s="2" t="s">
        <v>936</v>
      </c>
      <c r="C341" s="2" t="s">
        <v>7</v>
      </c>
      <c r="D341" s="2" t="s">
        <v>52</v>
      </c>
      <c r="E341" s="2" t="s">
        <v>4128</v>
      </c>
      <c r="F341" s="5"/>
      <c r="G341" s="4">
        <v>0</v>
      </c>
      <c r="H341" s="4"/>
      <c r="I341" s="2" t="s">
        <v>29</v>
      </c>
      <c r="J341" s="2">
        <v>140</v>
      </c>
      <c r="K341" s="2">
        <v>1.5</v>
      </c>
      <c r="L341" s="2">
        <v>0</v>
      </c>
      <c r="M341" s="2">
        <v>210</v>
      </c>
    </row>
    <row r="342" spans="1:13" x14ac:dyDescent="0.2">
      <c r="A342" s="2" t="s">
        <v>3428</v>
      </c>
      <c r="B342" s="2" t="s">
        <v>3429</v>
      </c>
      <c r="C342" s="2" t="s">
        <v>7</v>
      </c>
      <c r="D342" s="2" t="s">
        <v>52</v>
      </c>
      <c r="E342" s="2" t="s">
        <v>4128</v>
      </c>
      <c r="F342" s="5"/>
      <c r="G342" s="4">
        <v>0</v>
      </c>
      <c r="H342" s="4"/>
      <c r="I342" s="2" t="s">
        <v>29</v>
      </c>
      <c r="J342" s="2">
        <v>140</v>
      </c>
      <c r="K342" s="2">
        <v>1.5</v>
      </c>
      <c r="L342" s="2">
        <v>0</v>
      </c>
      <c r="M342" s="2">
        <v>210</v>
      </c>
    </row>
    <row r="343" spans="1:13" x14ac:dyDescent="0.2">
      <c r="A343" s="2" t="s">
        <v>3430</v>
      </c>
      <c r="B343" s="2" t="s">
        <v>3431</v>
      </c>
      <c r="C343" s="2" t="s">
        <v>7</v>
      </c>
      <c r="D343" s="2" t="s">
        <v>52</v>
      </c>
      <c r="E343" s="2" t="s">
        <v>4128</v>
      </c>
      <c r="F343" s="5"/>
      <c r="G343" s="4">
        <v>0</v>
      </c>
      <c r="H343" s="4"/>
      <c r="I343" s="2" t="s">
        <v>29</v>
      </c>
      <c r="J343" s="2">
        <v>140</v>
      </c>
      <c r="K343" s="2">
        <v>1.5</v>
      </c>
      <c r="L343" s="2">
        <v>0</v>
      </c>
      <c r="M343" s="2">
        <v>210</v>
      </c>
    </row>
    <row r="344" spans="1:13" x14ac:dyDescent="0.2">
      <c r="A344" s="2" t="s">
        <v>3432</v>
      </c>
      <c r="B344" s="2" t="s">
        <v>3433</v>
      </c>
      <c r="C344" s="2" t="s">
        <v>7</v>
      </c>
      <c r="D344" s="2" t="s">
        <v>52</v>
      </c>
      <c r="E344" s="2" t="s">
        <v>4128</v>
      </c>
      <c r="F344" s="5"/>
      <c r="G344" s="4">
        <v>0</v>
      </c>
      <c r="H344" s="4"/>
      <c r="I344" s="2" t="s">
        <v>29</v>
      </c>
      <c r="J344" s="2">
        <v>140</v>
      </c>
      <c r="K344" s="2">
        <v>1.5</v>
      </c>
      <c r="L344" s="2">
        <v>0</v>
      </c>
      <c r="M344" s="2">
        <v>210</v>
      </c>
    </row>
    <row r="345" spans="1:13" x14ac:dyDescent="0.2">
      <c r="A345" s="2" t="s">
        <v>391</v>
      </c>
      <c r="B345" s="2" t="s">
        <v>392</v>
      </c>
      <c r="C345" s="2" t="s">
        <v>7</v>
      </c>
      <c r="D345" s="2" t="s">
        <v>52</v>
      </c>
      <c r="E345" s="2" t="s">
        <v>4128</v>
      </c>
      <c r="F345" s="5"/>
      <c r="G345" s="4">
        <v>0</v>
      </c>
      <c r="H345" s="4"/>
      <c r="I345" s="2" t="s">
        <v>29</v>
      </c>
      <c r="J345" s="2">
        <v>140</v>
      </c>
      <c r="K345" s="2">
        <v>1.5</v>
      </c>
      <c r="L345" s="2">
        <v>600</v>
      </c>
      <c r="M345" s="2">
        <v>0</v>
      </c>
    </row>
    <row r="346" spans="1:13" x14ac:dyDescent="0.2">
      <c r="A346" s="2" t="s">
        <v>437</v>
      </c>
      <c r="B346" s="2" t="s">
        <v>438</v>
      </c>
      <c r="C346" s="2" t="s">
        <v>94</v>
      </c>
      <c r="D346" s="2" t="s">
        <v>52</v>
      </c>
      <c r="E346" s="2" t="s">
        <v>4128</v>
      </c>
      <c r="F346" s="5"/>
      <c r="G346" s="4">
        <v>0</v>
      </c>
      <c r="H346" s="4"/>
      <c r="I346" s="2" t="s">
        <v>29</v>
      </c>
      <c r="J346" s="2">
        <v>140</v>
      </c>
      <c r="K346" s="2">
        <v>1.5</v>
      </c>
      <c r="L346" s="2">
        <v>345</v>
      </c>
      <c r="M346" s="2">
        <v>0</v>
      </c>
    </row>
    <row r="347" spans="1:13" x14ac:dyDescent="0.2">
      <c r="A347" s="2" t="s">
        <v>3434</v>
      </c>
      <c r="B347" s="2" t="s">
        <v>3435</v>
      </c>
      <c r="C347" s="2" t="s">
        <v>7</v>
      </c>
      <c r="D347" s="2" t="s">
        <v>52</v>
      </c>
      <c r="E347" s="2" t="s">
        <v>4128</v>
      </c>
      <c r="F347" s="5"/>
      <c r="G347" s="4">
        <v>0</v>
      </c>
      <c r="H347" s="4"/>
      <c r="I347" s="2" t="s">
        <v>29</v>
      </c>
      <c r="J347" s="2">
        <v>140</v>
      </c>
      <c r="K347" s="2">
        <v>1.5</v>
      </c>
      <c r="L347" s="2">
        <v>0</v>
      </c>
      <c r="M347" s="2">
        <v>210</v>
      </c>
    </row>
    <row r="348" spans="1:13" x14ac:dyDescent="0.2">
      <c r="A348" s="2" t="s">
        <v>3436</v>
      </c>
      <c r="B348" s="2" t="s">
        <v>3437</v>
      </c>
      <c r="C348" s="2" t="s">
        <v>7</v>
      </c>
      <c r="D348" s="2" t="s">
        <v>52</v>
      </c>
      <c r="E348" s="2" t="s">
        <v>4128</v>
      </c>
      <c r="F348" s="5"/>
      <c r="G348" s="4">
        <v>0</v>
      </c>
      <c r="H348" s="4"/>
      <c r="I348" s="2" t="s">
        <v>29</v>
      </c>
      <c r="J348" s="2">
        <v>140</v>
      </c>
      <c r="K348" s="2">
        <v>1.5</v>
      </c>
      <c r="L348" s="2">
        <v>0</v>
      </c>
      <c r="M348" s="2">
        <v>210</v>
      </c>
    </row>
    <row r="349" spans="1:13" x14ac:dyDescent="0.2">
      <c r="A349" s="2" t="s">
        <v>3438</v>
      </c>
      <c r="B349" s="2" t="s">
        <v>3439</v>
      </c>
      <c r="C349" s="2" t="s">
        <v>7</v>
      </c>
      <c r="D349" s="2" t="s">
        <v>52</v>
      </c>
      <c r="E349" s="2" t="s">
        <v>4128</v>
      </c>
      <c r="F349" s="5"/>
      <c r="G349" s="4">
        <v>0</v>
      </c>
      <c r="H349" s="4"/>
      <c r="I349" s="2" t="s">
        <v>29</v>
      </c>
      <c r="J349" s="2">
        <v>140</v>
      </c>
      <c r="K349" s="2">
        <v>1.5</v>
      </c>
      <c r="L349" s="2">
        <v>0</v>
      </c>
      <c r="M349" s="2">
        <v>210</v>
      </c>
    </row>
    <row r="350" spans="1:13" x14ac:dyDescent="0.2">
      <c r="A350" s="2" t="s">
        <v>957</v>
      </c>
      <c r="B350" s="2" t="s">
        <v>958</v>
      </c>
      <c r="C350" s="2" t="s">
        <v>7</v>
      </c>
      <c r="D350" s="2" t="s">
        <v>52</v>
      </c>
      <c r="E350" s="2" t="s">
        <v>4128</v>
      </c>
      <c r="F350" s="5"/>
      <c r="G350" s="4">
        <v>0</v>
      </c>
      <c r="H350" s="4"/>
      <c r="I350" s="2" t="s">
        <v>29</v>
      </c>
      <c r="J350" s="2">
        <v>140</v>
      </c>
      <c r="K350" s="2">
        <v>1.5</v>
      </c>
      <c r="L350" s="2">
        <v>0</v>
      </c>
      <c r="M350" s="2">
        <v>210</v>
      </c>
    </row>
    <row r="351" spans="1:13" x14ac:dyDescent="0.2">
      <c r="A351" s="2" t="s">
        <v>323</v>
      </c>
      <c r="B351" s="2" t="s">
        <v>324</v>
      </c>
      <c r="C351" s="2" t="s">
        <v>94</v>
      </c>
      <c r="D351" s="2" t="s">
        <v>52</v>
      </c>
      <c r="E351" s="2" t="s">
        <v>4128</v>
      </c>
      <c r="F351" s="5"/>
      <c r="G351" s="4">
        <v>0</v>
      </c>
      <c r="H351" s="4"/>
      <c r="I351" s="2" t="s">
        <v>29</v>
      </c>
      <c r="J351" s="2">
        <v>140</v>
      </c>
      <c r="K351" s="2">
        <v>1.5</v>
      </c>
      <c r="L351" s="2">
        <v>210</v>
      </c>
      <c r="M351" s="2">
        <v>0</v>
      </c>
    </row>
    <row r="352" spans="1:13" x14ac:dyDescent="0.2">
      <c r="A352" s="2" t="s">
        <v>389</v>
      </c>
      <c r="B352" s="2" t="s">
        <v>390</v>
      </c>
      <c r="C352" s="2" t="s">
        <v>91</v>
      </c>
      <c r="D352" s="2" t="s">
        <v>52</v>
      </c>
      <c r="E352" s="2" t="s">
        <v>4128</v>
      </c>
      <c r="F352" s="5"/>
      <c r="G352" s="4">
        <v>0</v>
      </c>
      <c r="H352" s="4"/>
      <c r="I352" s="2" t="s">
        <v>29</v>
      </c>
      <c r="J352" s="2">
        <v>140</v>
      </c>
      <c r="K352" s="2">
        <v>1.5</v>
      </c>
      <c r="L352" s="2">
        <v>345</v>
      </c>
      <c r="M352" s="2">
        <v>0</v>
      </c>
    </row>
    <row r="353" spans="1:13" x14ac:dyDescent="0.2">
      <c r="A353" s="2" t="s">
        <v>3440</v>
      </c>
      <c r="B353" s="2" t="s">
        <v>3441</v>
      </c>
      <c r="C353" s="2" t="s">
        <v>66</v>
      </c>
      <c r="D353" s="2" t="s">
        <v>52</v>
      </c>
      <c r="E353" s="2" t="s">
        <v>4128</v>
      </c>
      <c r="F353" s="5"/>
      <c r="G353" s="4">
        <v>0</v>
      </c>
      <c r="H353" s="4"/>
      <c r="I353" s="2" t="s">
        <v>29</v>
      </c>
      <c r="J353" s="2">
        <v>140</v>
      </c>
      <c r="K353" s="2">
        <v>1.5</v>
      </c>
      <c r="L353" s="2">
        <v>0</v>
      </c>
      <c r="M353" s="2">
        <v>210</v>
      </c>
    </row>
    <row r="354" spans="1:13" x14ac:dyDescent="0.2">
      <c r="A354" s="2" t="s">
        <v>3442</v>
      </c>
      <c r="B354" s="2" t="s">
        <v>3443</v>
      </c>
      <c r="C354" s="2" t="s">
        <v>7</v>
      </c>
      <c r="D354" s="2" t="s">
        <v>52</v>
      </c>
      <c r="E354" s="2" t="s">
        <v>4128</v>
      </c>
      <c r="F354" s="5"/>
      <c r="G354" s="4">
        <v>0</v>
      </c>
      <c r="H354" s="4"/>
      <c r="I354" s="2" t="s">
        <v>29</v>
      </c>
      <c r="J354" s="2">
        <v>140</v>
      </c>
      <c r="K354" s="2">
        <v>1.5</v>
      </c>
      <c r="L354" s="2">
        <v>0</v>
      </c>
      <c r="M354" s="2">
        <v>210</v>
      </c>
    </row>
    <row r="355" spans="1:13" x14ac:dyDescent="0.2">
      <c r="A355" s="2" t="s">
        <v>3444</v>
      </c>
      <c r="B355" s="2" t="s">
        <v>3445</v>
      </c>
      <c r="C355" s="2" t="s">
        <v>592</v>
      </c>
      <c r="D355" s="2" t="s">
        <v>52</v>
      </c>
      <c r="E355" s="2" t="s">
        <v>4128</v>
      </c>
      <c r="F355" s="5"/>
      <c r="G355" s="4">
        <v>0</v>
      </c>
      <c r="H355" s="4"/>
      <c r="I355" s="2" t="s">
        <v>29</v>
      </c>
      <c r="J355" s="2">
        <v>140</v>
      </c>
      <c r="K355" s="2">
        <v>1.5</v>
      </c>
      <c r="L355" s="2">
        <v>0</v>
      </c>
      <c r="M355" s="2">
        <v>210</v>
      </c>
    </row>
    <row r="356" spans="1:13" x14ac:dyDescent="0.2">
      <c r="A356" s="2" t="s">
        <v>973</v>
      </c>
      <c r="B356" s="2" t="s">
        <v>974</v>
      </c>
      <c r="C356" s="2" t="s">
        <v>592</v>
      </c>
      <c r="D356" s="2" t="s">
        <v>52</v>
      </c>
      <c r="E356" s="2" t="s">
        <v>4128</v>
      </c>
      <c r="F356" s="5"/>
      <c r="G356" s="4">
        <v>0</v>
      </c>
      <c r="H356" s="4"/>
      <c r="I356" s="2" t="s">
        <v>29</v>
      </c>
      <c r="J356" s="2">
        <v>140</v>
      </c>
      <c r="K356" s="2">
        <v>1.5</v>
      </c>
      <c r="L356" s="2">
        <v>0</v>
      </c>
      <c r="M356" s="2">
        <v>210</v>
      </c>
    </row>
    <row r="357" spans="1:13" x14ac:dyDescent="0.2">
      <c r="A357" s="2" t="s">
        <v>971</v>
      </c>
      <c r="B357" s="2" t="s">
        <v>972</v>
      </c>
      <c r="C357" s="2" t="s">
        <v>66</v>
      </c>
      <c r="D357" s="2" t="s">
        <v>52</v>
      </c>
      <c r="E357" s="2" t="s">
        <v>4128</v>
      </c>
      <c r="F357" s="5"/>
      <c r="G357" s="4">
        <v>0</v>
      </c>
      <c r="H357" s="4"/>
      <c r="I357" s="2" t="s">
        <v>29</v>
      </c>
      <c r="J357" s="2">
        <v>140</v>
      </c>
      <c r="K357" s="2">
        <v>1.5</v>
      </c>
      <c r="L357" s="2">
        <v>0</v>
      </c>
      <c r="M357" s="2">
        <v>210</v>
      </c>
    </row>
    <row r="358" spans="1:13" x14ac:dyDescent="0.2">
      <c r="A358" s="2" t="s">
        <v>3446</v>
      </c>
      <c r="B358" s="2" t="s">
        <v>3447</v>
      </c>
      <c r="C358" s="2" t="s">
        <v>4125</v>
      </c>
      <c r="D358" s="2" t="s">
        <v>52</v>
      </c>
      <c r="E358" s="2" t="s">
        <v>4128</v>
      </c>
      <c r="F358" s="5"/>
      <c r="G358" s="4">
        <v>0</v>
      </c>
      <c r="H358" s="4"/>
      <c r="I358" s="2" t="s">
        <v>29</v>
      </c>
      <c r="J358" s="2">
        <v>140</v>
      </c>
      <c r="K358" s="2">
        <v>1.5</v>
      </c>
      <c r="L358" s="2">
        <v>0</v>
      </c>
      <c r="M358" s="2">
        <v>210</v>
      </c>
    </row>
    <row r="359" spans="1:13" x14ac:dyDescent="0.2">
      <c r="A359" s="2" t="s">
        <v>3448</v>
      </c>
      <c r="B359" s="2" t="s">
        <v>3449</v>
      </c>
      <c r="C359" s="2" t="s">
        <v>4125</v>
      </c>
      <c r="D359" s="2" t="s">
        <v>52</v>
      </c>
      <c r="E359" s="2" t="s">
        <v>4128</v>
      </c>
      <c r="F359" s="5"/>
      <c r="G359" s="4">
        <v>0</v>
      </c>
      <c r="H359" s="4"/>
      <c r="I359" s="2" t="s">
        <v>29</v>
      </c>
      <c r="J359" s="2">
        <v>140</v>
      </c>
      <c r="K359" s="2">
        <v>1.5</v>
      </c>
      <c r="L359" s="2">
        <v>0</v>
      </c>
      <c r="M359" s="2">
        <v>210</v>
      </c>
    </row>
    <row r="360" spans="1:13" x14ac:dyDescent="0.2">
      <c r="A360" s="2" t="s">
        <v>3450</v>
      </c>
      <c r="B360" s="2" t="s">
        <v>3451</v>
      </c>
      <c r="C360" s="2" t="s">
        <v>4126</v>
      </c>
      <c r="D360" s="2" t="s">
        <v>52</v>
      </c>
      <c r="E360" s="2" t="s">
        <v>4128</v>
      </c>
      <c r="F360" s="5"/>
      <c r="G360" s="4">
        <v>0</v>
      </c>
      <c r="H360" s="4"/>
      <c r="I360" s="2" t="s">
        <v>29</v>
      </c>
      <c r="J360" s="2">
        <v>140</v>
      </c>
      <c r="K360" s="2">
        <v>1.5</v>
      </c>
      <c r="L360" s="2">
        <v>0</v>
      </c>
      <c r="M360" s="2">
        <v>210</v>
      </c>
    </row>
    <row r="361" spans="1:13" x14ac:dyDescent="0.2">
      <c r="A361" s="2" t="s">
        <v>3452</v>
      </c>
      <c r="B361" s="2" t="s">
        <v>3453</v>
      </c>
      <c r="C361" s="2" t="s">
        <v>592</v>
      </c>
      <c r="D361" s="2" t="s">
        <v>52</v>
      </c>
      <c r="E361" s="2" t="s">
        <v>4128</v>
      </c>
      <c r="F361" s="5"/>
      <c r="G361" s="4">
        <v>0</v>
      </c>
      <c r="H361" s="4"/>
      <c r="I361" s="2" t="s">
        <v>29</v>
      </c>
      <c r="J361" s="2">
        <v>140</v>
      </c>
      <c r="K361" s="2">
        <v>1.5</v>
      </c>
      <c r="L361" s="2">
        <v>0</v>
      </c>
      <c r="M361" s="2">
        <v>210</v>
      </c>
    </row>
    <row r="362" spans="1:13" x14ac:dyDescent="0.2">
      <c r="A362" s="2" t="s">
        <v>1119</v>
      </c>
      <c r="B362" s="2" t="s">
        <v>1120</v>
      </c>
      <c r="C362" s="2" t="s">
        <v>1366</v>
      </c>
      <c r="D362" s="2" t="s">
        <v>52</v>
      </c>
      <c r="E362" s="2" t="s">
        <v>4128</v>
      </c>
      <c r="F362" s="5"/>
      <c r="G362" s="4">
        <v>0</v>
      </c>
      <c r="H362" s="4"/>
      <c r="I362" s="2" t="s">
        <v>29</v>
      </c>
      <c r="J362" s="2">
        <v>140</v>
      </c>
      <c r="K362" s="2">
        <v>1.5</v>
      </c>
      <c r="L362" s="2">
        <v>210</v>
      </c>
      <c r="M362" s="2">
        <v>0</v>
      </c>
    </row>
    <row r="363" spans="1:13" x14ac:dyDescent="0.2">
      <c r="A363" s="2" t="s">
        <v>3454</v>
      </c>
      <c r="B363" s="2" t="s">
        <v>3455</v>
      </c>
      <c r="C363" s="2" t="s">
        <v>4125</v>
      </c>
      <c r="D363" s="2" t="s">
        <v>52</v>
      </c>
      <c r="E363" s="2" t="s">
        <v>4128</v>
      </c>
      <c r="F363" s="5"/>
      <c r="G363" s="4">
        <v>0</v>
      </c>
      <c r="H363" s="4"/>
      <c r="I363" s="2" t="s">
        <v>29</v>
      </c>
      <c r="J363" s="2">
        <v>140</v>
      </c>
      <c r="K363" s="2">
        <v>1.5</v>
      </c>
      <c r="L363" s="2">
        <v>0</v>
      </c>
      <c r="M363" s="2">
        <v>210</v>
      </c>
    </row>
    <row r="364" spans="1:13" x14ac:dyDescent="0.2">
      <c r="A364" s="2" t="s">
        <v>991</v>
      </c>
      <c r="B364" s="2" t="s">
        <v>992</v>
      </c>
      <c r="C364" s="2" t="s">
        <v>94</v>
      </c>
      <c r="D364" s="2" t="s">
        <v>52</v>
      </c>
      <c r="E364" s="2" t="s">
        <v>4128</v>
      </c>
      <c r="F364" s="5"/>
      <c r="G364" s="4">
        <v>0</v>
      </c>
      <c r="H364" s="4"/>
      <c r="I364" s="2" t="s">
        <v>29</v>
      </c>
      <c r="J364" s="2">
        <v>140</v>
      </c>
      <c r="K364" s="2">
        <v>1.5</v>
      </c>
      <c r="L364" s="2">
        <v>0</v>
      </c>
      <c r="M364" s="2">
        <v>210</v>
      </c>
    </row>
    <row r="365" spans="1:13" x14ac:dyDescent="0.2">
      <c r="A365" s="2" t="s">
        <v>3456</v>
      </c>
      <c r="B365" s="2" t="s">
        <v>3457</v>
      </c>
      <c r="C365" s="2" t="s">
        <v>4125</v>
      </c>
      <c r="D365" s="2" t="s">
        <v>52</v>
      </c>
      <c r="E365" s="2" t="s">
        <v>4128</v>
      </c>
      <c r="F365" s="5"/>
      <c r="G365" s="4">
        <v>0</v>
      </c>
      <c r="H365" s="4"/>
      <c r="I365" s="2" t="s">
        <v>29</v>
      </c>
      <c r="J365" s="2">
        <v>140</v>
      </c>
      <c r="K365" s="2">
        <v>1.5</v>
      </c>
      <c r="L365" s="2">
        <v>0</v>
      </c>
      <c r="M365" s="2">
        <v>210</v>
      </c>
    </row>
    <row r="366" spans="1:13" x14ac:dyDescent="0.2">
      <c r="A366" s="2" t="s">
        <v>3458</v>
      </c>
      <c r="B366" s="2" t="s">
        <v>3459</v>
      </c>
      <c r="C366" s="2" t="s">
        <v>592</v>
      </c>
      <c r="D366" s="2" t="s">
        <v>52</v>
      </c>
      <c r="E366" s="2" t="s">
        <v>4128</v>
      </c>
      <c r="F366" s="5"/>
      <c r="G366" s="4">
        <v>0</v>
      </c>
      <c r="H366" s="4"/>
      <c r="I366" s="2" t="s">
        <v>29</v>
      </c>
      <c r="J366" s="2">
        <v>140</v>
      </c>
      <c r="K366" s="2">
        <v>1.5</v>
      </c>
      <c r="L366" s="2">
        <v>0</v>
      </c>
      <c r="M366" s="2">
        <v>210</v>
      </c>
    </row>
    <row r="367" spans="1:13" x14ac:dyDescent="0.2">
      <c r="A367" s="2" t="s">
        <v>3460</v>
      </c>
      <c r="B367" s="2" t="s">
        <v>3461</v>
      </c>
      <c r="C367" s="2" t="s">
        <v>4125</v>
      </c>
      <c r="D367" s="2" t="s">
        <v>52</v>
      </c>
      <c r="E367" s="2" t="s">
        <v>4128</v>
      </c>
      <c r="F367" s="5"/>
      <c r="G367" s="4">
        <v>0</v>
      </c>
      <c r="H367" s="4"/>
      <c r="I367" s="2" t="s">
        <v>29</v>
      </c>
      <c r="J367" s="2">
        <v>140</v>
      </c>
      <c r="K367" s="2">
        <v>1.5</v>
      </c>
      <c r="L367" s="2">
        <v>0</v>
      </c>
      <c r="M367" s="2">
        <v>210</v>
      </c>
    </row>
    <row r="368" spans="1:13" x14ac:dyDescent="0.2">
      <c r="A368" s="2" t="s">
        <v>3462</v>
      </c>
      <c r="B368" s="2" t="s">
        <v>3463</v>
      </c>
      <c r="C368" s="2" t="s">
        <v>1366</v>
      </c>
      <c r="D368" s="2" t="s">
        <v>52</v>
      </c>
      <c r="E368" s="2" t="s">
        <v>4128</v>
      </c>
      <c r="F368" s="5"/>
      <c r="G368" s="4">
        <v>0</v>
      </c>
      <c r="H368" s="4"/>
      <c r="I368" s="2" t="s">
        <v>29</v>
      </c>
      <c r="J368" s="2">
        <v>140</v>
      </c>
      <c r="K368" s="2">
        <v>1.5</v>
      </c>
      <c r="L368" s="2">
        <v>0</v>
      </c>
      <c r="M368" s="2">
        <v>210</v>
      </c>
    </row>
    <row r="369" spans="1:13" x14ac:dyDescent="0.2">
      <c r="A369" s="2" t="s">
        <v>3464</v>
      </c>
      <c r="B369" s="2" t="s">
        <v>3465</v>
      </c>
      <c r="C369" s="2" t="s">
        <v>1366</v>
      </c>
      <c r="D369" s="2" t="s">
        <v>52</v>
      </c>
      <c r="E369" s="2" t="s">
        <v>4128</v>
      </c>
      <c r="F369" s="5"/>
      <c r="G369" s="4">
        <v>0</v>
      </c>
      <c r="H369" s="4"/>
      <c r="I369" s="2" t="s">
        <v>29</v>
      </c>
      <c r="J369" s="2">
        <v>140</v>
      </c>
      <c r="K369" s="2">
        <v>1.5</v>
      </c>
      <c r="L369" s="2">
        <v>0</v>
      </c>
      <c r="M369" s="2">
        <v>210</v>
      </c>
    </row>
    <row r="370" spans="1:13" x14ac:dyDescent="0.2">
      <c r="A370" s="2" t="s">
        <v>4000</v>
      </c>
      <c r="B370" s="2" t="s">
        <v>4001</v>
      </c>
      <c r="C370" s="2" t="s">
        <v>19</v>
      </c>
      <c r="D370" s="2" t="s">
        <v>52</v>
      </c>
      <c r="E370" s="2" t="s">
        <v>4128</v>
      </c>
      <c r="F370" s="5"/>
      <c r="G370" s="4">
        <v>0</v>
      </c>
      <c r="H370" s="4"/>
      <c r="I370" s="2" t="s">
        <v>29</v>
      </c>
      <c r="J370" s="2">
        <v>140</v>
      </c>
      <c r="K370" s="2">
        <v>1.5</v>
      </c>
      <c r="L370" s="2">
        <v>0</v>
      </c>
      <c r="M370" s="2">
        <v>210</v>
      </c>
    </row>
    <row r="371" spans="1:13" x14ac:dyDescent="0.2">
      <c r="A371" s="2" t="s">
        <v>445</v>
      </c>
      <c r="B371" s="2" t="s">
        <v>446</v>
      </c>
      <c r="C371" s="2" t="s">
        <v>94</v>
      </c>
      <c r="D371" s="2" t="s">
        <v>52</v>
      </c>
      <c r="E371" s="2" t="s">
        <v>4128</v>
      </c>
      <c r="F371" s="5"/>
      <c r="G371" s="4">
        <v>0</v>
      </c>
      <c r="H371" s="4"/>
      <c r="I371" s="2" t="s">
        <v>29</v>
      </c>
      <c r="J371" s="2">
        <v>140</v>
      </c>
      <c r="K371" s="2">
        <v>1.5</v>
      </c>
      <c r="L371" s="2">
        <v>345</v>
      </c>
      <c r="M371" s="2">
        <v>0</v>
      </c>
    </row>
    <row r="372" spans="1:13" x14ac:dyDescent="0.2">
      <c r="A372" s="2" t="s">
        <v>979</v>
      </c>
      <c r="B372" s="2" t="s">
        <v>980</v>
      </c>
      <c r="C372" s="2" t="s">
        <v>1366</v>
      </c>
      <c r="D372" s="2" t="s">
        <v>52</v>
      </c>
      <c r="E372" s="2" t="s">
        <v>4128</v>
      </c>
      <c r="F372" s="5"/>
      <c r="G372" s="4">
        <v>0</v>
      </c>
      <c r="H372" s="4"/>
      <c r="I372" s="2" t="s">
        <v>29</v>
      </c>
      <c r="J372" s="2">
        <v>140</v>
      </c>
      <c r="K372" s="2">
        <v>1.5</v>
      </c>
      <c r="L372" s="2">
        <v>0</v>
      </c>
      <c r="M372" s="2">
        <v>210</v>
      </c>
    </row>
    <row r="373" spans="1:13" x14ac:dyDescent="0.2">
      <c r="A373" s="2" t="s">
        <v>4002</v>
      </c>
      <c r="B373" s="2" t="s">
        <v>4003</v>
      </c>
      <c r="C373" s="2" t="s">
        <v>66</v>
      </c>
      <c r="D373" s="2" t="s">
        <v>52</v>
      </c>
      <c r="E373" s="2" t="s">
        <v>4128</v>
      </c>
      <c r="F373" s="5"/>
      <c r="G373" s="4">
        <v>0</v>
      </c>
      <c r="H373" s="4"/>
      <c r="I373" s="2" t="s">
        <v>29</v>
      </c>
      <c r="J373" s="2">
        <v>140</v>
      </c>
      <c r="K373" s="2">
        <v>1.5</v>
      </c>
      <c r="L373" s="2">
        <v>0</v>
      </c>
      <c r="M373" s="2">
        <v>210</v>
      </c>
    </row>
    <row r="374" spans="1:13" x14ac:dyDescent="0.2">
      <c r="A374" s="2" t="s">
        <v>3466</v>
      </c>
      <c r="B374" s="2" t="s">
        <v>3467</v>
      </c>
      <c r="C374" s="2" t="s">
        <v>4125</v>
      </c>
      <c r="D374" s="2" t="s">
        <v>52</v>
      </c>
      <c r="E374" s="2" t="s">
        <v>4128</v>
      </c>
      <c r="F374" s="5"/>
      <c r="G374" s="4">
        <v>0</v>
      </c>
      <c r="H374" s="4"/>
      <c r="I374" s="2" t="s">
        <v>29</v>
      </c>
      <c r="J374" s="2">
        <v>140</v>
      </c>
      <c r="K374" s="2">
        <v>1.5</v>
      </c>
      <c r="L374" s="2">
        <v>0</v>
      </c>
      <c r="M374" s="2">
        <v>210</v>
      </c>
    </row>
    <row r="375" spans="1:13" x14ac:dyDescent="0.2">
      <c r="A375" s="2" t="s">
        <v>361</v>
      </c>
      <c r="B375" s="2" t="s">
        <v>362</v>
      </c>
      <c r="C375" s="2" t="s">
        <v>54</v>
      </c>
      <c r="D375" s="2" t="s">
        <v>52</v>
      </c>
      <c r="E375" s="2" t="s">
        <v>4128</v>
      </c>
      <c r="F375" s="5"/>
      <c r="G375" s="4">
        <v>0</v>
      </c>
      <c r="H375" s="4"/>
      <c r="I375" s="2" t="s">
        <v>29</v>
      </c>
      <c r="J375" s="2">
        <v>140</v>
      </c>
      <c r="K375" s="2">
        <v>1.5</v>
      </c>
      <c r="L375" s="2">
        <v>600</v>
      </c>
      <c r="M375" s="2">
        <v>0</v>
      </c>
    </row>
    <row r="376" spans="1:13" x14ac:dyDescent="0.2">
      <c r="A376" s="2" t="s">
        <v>4004</v>
      </c>
      <c r="B376" s="2" t="s">
        <v>4005</v>
      </c>
      <c r="C376" s="2" t="s">
        <v>91</v>
      </c>
      <c r="D376" s="2" t="s">
        <v>52</v>
      </c>
      <c r="E376" s="2" t="s">
        <v>4128</v>
      </c>
      <c r="F376" s="5"/>
      <c r="G376" s="4">
        <v>0</v>
      </c>
      <c r="H376" s="4"/>
      <c r="I376" s="2" t="s">
        <v>29</v>
      </c>
      <c r="J376" s="2">
        <v>140</v>
      </c>
      <c r="K376" s="2">
        <v>1.5</v>
      </c>
      <c r="L376" s="2">
        <v>0</v>
      </c>
      <c r="M376" s="2">
        <v>210</v>
      </c>
    </row>
    <row r="377" spans="1:13" x14ac:dyDescent="0.2">
      <c r="A377" s="2" t="s">
        <v>1129</v>
      </c>
      <c r="B377" s="2" t="s">
        <v>1130</v>
      </c>
      <c r="C377" s="2" t="s">
        <v>91</v>
      </c>
      <c r="D377" s="2" t="s">
        <v>52</v>
      </c>
      <c r="E377" s="2" t="s">
        <v>4128</v>
      </c>
      <c r="F377" s="5"/>
      <c r="G377" s="4">
        <v>0</v>
      </c>
      <c r="H377" s="4"/>
      <c r="I377" s="2" t="s">
        <v>29</v>
      </c>
      <c r="J377" s="2">
        <v>140</v>
      </c>
      <c r="K377" s="2">
        <v>1.5</v>
      </c>
      <c r="L377" s="2">
        <v>210</v>
      </c>
      <c r="M377" s="2">
        <v>0</v>
      </c>
    </row>
    <row r="378" spans="1:13" x14ac:dyDescent="0.2">
      <c r="A378" s="2" t="s">
        <v>975</v>
      </c>
      <c r="B378" s="2" t="s">
        <v>976</v>
      </c>
      <c r="C378" s="2" t="s">
        <v>54</v>
      </c>
      <c r="D378" s="2" t="s">
        <v>52</v>
      </c>
      <c r="E378" s="2" t="s">
        <v>4128</v>
      </c>
      <c r="F378" s="5"/>
      <c r="G378" s="4">
        <v>0</v>
      </c>
      <c r="H378" s="4"/>
      <c r="I378" s="2" t="s">
        <v>29</v>
      </c>
      <c r="J378" s="2">
        <v>140</v>
      </c>
      <c r="K378" s="2">
        <v>1.5</v>
      </c>
      <c r="L378" s="2">
        <v>0</v>
      </c>
      <c r="M378" s="2">
        <v>210</v>
      </c>
    </row>
    <row r="379" spans="1:13" x14ac:dyDescent="0.2">
      <c r="A379" s="2" t="s">
        <v>359</v>
      </c>
      <c r="B379" s="2" t="s">
        <v>360</v>
      </c>
      <c r="C379" s="2" t="s">
        <v>94</v>
      </c>
      <c r="D379" s="2" t="s">
        <v>52</v>
      </c>
      <c r="E379" s="2" t="s">
        <v>4128</v>
      </c>
      <c r="F379" s="5"/>
      <c r="G379" s="4">
        <v>0</v>
      </c>
      <c r="H379" s="4"/>
      <c r="I379" s="2" t="s">
        <v>29</v>
      </c>
      <c r="J379" s="2">
        <v>140</v>
      </c>
      <c r="K379" s="2">
        <v>1.5</v>
      </c>
      <c r="L379" s="2">
        <v>210</v>
      </c>
      <c r="M379" s="2">
        <v>0</v>
      </c>
    </row>
    <row r="380" spans="1:13" x14ac:dyDescent="0.2">
      <c r="A380" s="2" t="s">
        <v>983</v>
      </c>
      <c r="B380" s="2" t="s">
        <v>984</v>
      </c>
      <c r="C380" s="2" t="s">
        <v>592</v>
      </c>
      <c r="D380" s="2" t="s">
        <v>52</v>
      </c>
      <c r="E380" s="2" t="s">
        <v>4128</v>
      </c>
      <c r="F380" s="5"/>
      <c r="G380" s="4">
        <v>0</v>
      </c>
      <c r="H380" s="4"/>
      <c r="I380" s="2" t="s">
        <v>29</v>
      </c>
      <c r="J380" s="2">
        <v>140</v>
      </c>
      <c r="K380" s="2">
        <v>1.5</v>
      </c>
      <c r="L380" s="2">
        <v>0</v>
      </c>
      <c r="M380" s="2">
        <v>210</v>
      </c>
    </row>
    <row r="381" spans="1:13" x14ac:dyDescent="0.2">
      <c r="A381" s="2" t="s">
        <v>529</v>
      </c>
      <c r="B381" s="2" t="s">
        <v>530</v>
      </c>
      <c r="C381" s="2" t="s">
        <v>94</v>
      </c>
      <c r="D381" s="2" t="s">
        <v>52</v>
      </c>
      <c r="E381" s="2" t="s">
        <v>4128</v>
      </c>
      <c r="F381" s="5"/>
      <c r="G381" s="4">
        <v>0</v>
      </c>
      <c r="H381" s="4"/>
      <c r="I381" s="2" t="s">
        <v>29</v>
      </c>
      <c r="J381" s="2">
        <v>140</v>
      </c>
      <c r="K381" s="2">
        <v>1.5</v>
      </c>
      <c r="L381" s="2">
        <v>345</v>
      </c>
      <c r="M381" s="2">
        <v>0</v>
      </c>
    </row>
    <row r="382" spans="1:13" x14ac:dyDescent="0.2">
      <c r="A382" s="2" t="s">
        <v>353</v>
      </c>
      <c r="B382" s="2" t="s">
        <v>354</v>
      </c>
      <c r="C382" s="2" t="s">
        <v>94</v>
      </c>
      <c r="D382" s="2" t="s">
        <v>52</v>
      </c>
      <c r="E382" s="2" t="s">
        <v>4128</v>
      </c>
      <c r="F382" s="5"/>
      <c r="G382" s="4">
        <v>0</v>
      </c>
      <c r="H382" s="4"/>
      <c r="I382" s="2" t="s">
        <v>29</v>
      </c>
      <c r="J382" s="2">
        <v>140</v>
      </c>
      <c r="K382" s="2">
        <v>1.5</v>
      </c>
      <c r="L382" s="2">
        <v>210</v>
      </c>
      <c r="M382" s="2">
        <v>0</v>
      </c>
    </row>
    <row r="383" spans="1:13" x14ac:dyDescent="0.2">
      <c r="A383" s="2" t="s">
        <v>3468</v>
      </c>
      <c r="B383" s="2" t="s">
        <v>3469</v>
      </c>
      <c r="C383" s="2" t="s">
        <v>7</v>
      </c>
      <c r="D383" s="2" t="s">
        <v>52</v>
      </c>
      <c r="E383" s="2" t="s">
        <v>4128</v>
      </c>
      <c r="F383" s="5"/>
      <c r="G383" s="4">
        <v>0</v>
      </c>
      <c r="H383" s="4"/>
      <c r="I383" s="2" t="s">
        <v>29</v>
      </c>
      <c r="J383" s="2">
        <v>140</v>
      </c>
      <c r="K383" s="2">
        <v>1.5</v>
      </c>
      <c r="L383" s="2">
        <v>0</v>
      </c>
      <c r="M383" s="2">
        <v>210</v>
      </c>
    </row>
    <row r="384" spans="1:13" x14ac:dyDescent="0.2">
      <c r="A384" s="2" t="s">
        <v>3470</v>
      </c>
      <c r="B384" s="2" t="s">
        <v>3471</v>
      </c>
      <c r="C384" s="2" t="s">
        <v>4125</v>
      </c>
      <c r="D384" s="2" t="s">
        <v>52</v>
      </c>
      <c r="E384" s="2" t="s">
        <v>4128</v>
      </c>
      <c r="F384" s="5"/>
      <c r="G384" s="4">
        <v>0</v>
      </c>
      <c r="H384" s="4"/>
      <c r="I384" s="2" t="s">
        <v>29</v>
      </c>
      <c r="J384" s="2">
        <v>140</v>
      </c>
      <c r="K384" s="2">
        <v>1.5</v>
      </c>
      <c r="L384" s="2">
        <v>0</v>
      </c>
      <c r="M384" s="2">
        <v>210</v>
      </c>
    </row>
    <row r="385" spans="1:13" x14ac:dyDescent="0.2">
      <c r="A385" s="2" t="s">
        <v>4006</v>
      </c>
      <c r="B385" s="2" t="s">
        <v>4007</v>
      </c>
      <c r="C385" s="2" t="s">
        <v>4125</v>
      </c>
      <c r="D385" s="2" t="s">
        <v>52</v>
      </c>
      <c r="E385" s="2" t="s">
        <v>4128</v>
      </c>
      <c r="F385" s="5"/>
      <c r="G385" s="4">
        <v>0</v>
      </c>
      <c r="H385" s="4"/>
      <c r="I385" s="2" t="s">
        <v>29</v>
      </c>
      <c r="J385" s="2">
        <v>140</v>
      </c>
      <c r="K385" s="2">
        <v>1.5</v>
      </c>
      <c r="L385" s="2">
        <v>0</v>
      </c>
      <c r="M385" s="2">
        <v>210</v>
      </c>
    </row>
    <row r="386" spans="1:13" x14ac:dyDescent="0.2">
      <c r="A386" s="2" t="s">
        <v>4008</v>
      </c>
      <c r="B386" s="2" t="s">
        <v>4009</v>
      </c>
      <c r="C386" s="2" t="s">
        <v>94</v>
      </c>
      <c r="D386" s="2" t="s">
        <v>52</v>
      </c>
      <c r="E386" s="2" t="s">
        <v>4128</v>
      </c>
      <c r="F386" s="5"/>
      <c r="G386" s="4">
        <v>0</v>
      </c>
      <c r="H386" s="4"/>
      <c r="I386" s="2" t="s">
        <v>29</v>
      </c>
      <c r="J386" s="2">
        <v>140</v>
      </c>
      <c r="K386" s="2">
        <v>1.5</v>
      </c>
      <c r="L386" s="2">
        <v>0</v>
      </c>
      <c r="M386" s="2">
        <v>210</v>
      </c>
    </row>
    <row r="387" spans="1:13" x14ac:dyDescent="0.2">
      <c r="A387" s="2" t="s">
        <v>3472</v>
      </c>
      <c r="B387" s="2" t="s">
        <v>3473</v>
      </c>
      <c r="C387" s="2" t="s">
        <v>4125</v>
      </c>
      <c r="D387" s="2" t="s">
        <v>52</v>
      </c>
      <c r="E387" s="2" t="s">
        <v>4128</v>
      </c>
      <c r="F387" s="5"/>
      <c r="G387" s="4">
        <v>0</v>
      </c>
      <c r="H387" s="4"/>
      <c r="I387" s="2" t="s">
        <v>29</v>
      </c>
      <c r="J387" s="2">
        <v>140</v>
      </c>
      <c r="K387" s="2">
        <v>1.5</v>
      </c>
      <c r="L387" s="2">
        <v>0</v>
      </c>
      <c r="M387" s="2">
        <v>210</v>
      </c>
    </row>
    <row r="388" spans="1:13" x14ac:dyDescent="0.2">
      <c r="A388" s="2" t="s">
        <v>449</v>
      </c>
      <c r="B388" s="2" t="s">
        <v>450</v>
      </c>
      <c r="C388" s="2" t="s">
        <v>7</v>
      </c>
      <c r="D388" s="2" t="s">
        <v>52</v>
      </c>
      <c r="E388" s="2" t="s">
        <v>4128</v>
      </c>
      <c r="F388" s="5"/>
      <c r="G388" s="4">
        <v>0</v>
      </c>
      <c r="H388" s="4"/>
      <c r="I388" s="2" t="s">
        <v>29</v>
      </c>
      <c r="J388" s="2">
        <v>140</v>
      </c>
      <c r="K388" s="2">
        <v>1.5</v>
      </c>
      <c r="L388" s="2">
        <v>210</v>
      </c>
      <c r="M388" s="2">
        <v>0</v>
      </c>
    </row>
    <row r="389" spans="1:13" x14ac:dyDescent="0.2">
      <c r="A389" s="2" t="s">
        <v>4010</v>
      </c>
      <c r="B389" s="2" t="s">
        <v>4011</v>
      </c>
      <c r="C389" s="2" t="s">
        <v>1366</v>
      </c>
      <c r="D389" s="2" t="s">
        <v>52</v>
      </c>
      <c r="E389" s="2" t="s">
        <v>4128</v>
      </c>
      <c r="F389" s="5"/>
      <c r="G389" s="4">
        <v>0</v>
      </c>
      <c r="H389" s="4"/>
      <c r="I389" s="2" t="s">
        <v>29</v>
      </c>
      <c r="J389" s="2">
        <v>140</v>
      </c>
      <c r="K389" s="2">
        <v>1.5</v>
      </c>
      <c r="L389" s="2">
        <v>0</v>
      </c>
      <c r="M389" s="2">
        <v>210</v>
      </c>
    </row>
    <row r="390" spans="1:13" x14ac:dyDescent="0.2">
      <c r="A390" s="2" t="s">
        <v>377</v>
      </c>
      <c r="B390" s="2" t="s">
        <v>378</v>
      </c>
      <c r="C390" s="2" t="s">
        <v>94</v>
      </c>
      <c r="D390" s="2" t="s">
        <v>52</v>
      </c>
      <c r="E390" s="2" t="s">
        <v>4128</v>
      </c>
      <c r="F390" s="5"/>
      <c r="G390" s="4">
        <v>0</v>
      </c>
      <c r="H390" s="4"/>
      <c r="I390" s="2" t="s">
        <v>29</v>
      </c>
      <c r="J390" s="2">
        <v>140</v>
      </c>
      <c r="K390" s="2">
        <v>1.5</v>
      </c>
      <c r="L390" s="2">
        <v>345</v>
      </c>
      <c r="M390" s="2">
        <v>0</v>
      </c>
    </row>
    <row r="391" spans="1:13" x14ac:dyDescent="0.2">
      <c r="A391" s="2" t="s">
        <v>431</v>
      </c>
      <c r="B391" s="2" t="s">
        <v>432</v>
      </c>
      <c r="C391" s="2" t="s">
        <v>19</v>
      </c>
      <c r="D391" s="2" t="s">
        <v>52</v>
      </c>
      <c r="E391" s="2" t="s">
        <v>4128</v>
      </c>
      <c r="F391" s="5"/>
      <c r="G391" s="4">
        <v>0</v>
      </c>
      <c r="H391" s="4"/>
      <c r="I391" s="2" t="s">
        <v>62</v>
      </c>
      <c r="J391" s="2">
        <v>140</v>
      </c>
      <c r="K391" s="2">
        <v>1.5</v>
      </c>
      <c r="L391" s="2">
        <v>345</v>
      </c>
      <c r="M391" s="2">
        <v>0</v>
      </c>
    </row>
    <row r="392" spans="1:13" x14ac:dyDescent="0.2">
      <c r="A392" s="2" t="s">
        <v>285</v>
      </c>
      <c r="B392" s="2" t="s">
        <v>286</v>
      </c>
      <c r="C392" s="2" t="s">
        <v>4126</v>
      </c>
      <c r="D392" s="2" t="s">
        <v>52</v>
      </c>
      <c r="E392" s="2" t="s">
        <v>4128</v>
      </c>
      <c r="F392" s="5"/>
      <c r="G392" s="4">
        <v>0</v>
      </c>
      <c r="H392" s="4"/>
      <c r="I392" s="2" t="s">
        <v>62</v>
      </c>
      <c r="J392" s="2">
        <v>140</v>
      </c>
      <c r="K392" s="2">
        <v>1.5</v>
      </c>
      <c r="L392" s="2">
        <v>345</v>
      </c>
      <c r="M392" s="2">
        <v>0</v>
      </c>
    </row>
    <row r="393" spans="1:13" x14ac:dyDescent="0.2">
      <c r="A393" s="2" t="s">
        <v>443</v>
      </c>
      <c r="B393" s="2" t="s">
        <v>444</v>
      </c>
      <c r="C393" s="2" t="s">
        <v>94</v>
      </c>
      <c r="D393" s="2" t="s">
        <v>52</v>
      </c>
      <c r="E393" s="2" t="s">
        <v>4128</v>
      </c>
      <c r="F393" s="5"/>
      <c r="G393" s="4">
        <v>0</v>
      </c>
      <c r="H393" s="4"/>
      <c r="I393" s="2" t="s">
        <v>4090</v>
      </c>
      <c r="J393" s="2">
        <v>400</v>
      </c>
      <c r="K393" s="2">
        <v>1.5</v>
      </c>
      <c r="L393" s="2">
        <v>345</v>
      </c>
      <c r="M393" s="2">
        <v>255</v>
      </c>
    </row>
    <row r="394" spans="1:13" x14ac:dyDescent="0.2">
      <c r="A394" s="2" t="s">
        <v>619</v>
      </c>
      <c r="B394" s="2" t="s">
        <v>620</v>
      </c>
      <c r="C394" s="2" t="s">
        <v>7</v>
      </c>
      <c r="D394" s="2" t="s">
        <v>52</v>
      </c>
      <c r="E394" s="2" t="s">
        <v>4128</v>
      </c>
      <c r="F394" s="5"/>
      <c r="G394" s="4">
        <v>0</v>
      </c>
      <c r="H394" s="4"/>
      <c r="I394" s="2" t="s">
        <v>26</v>
      </c>
      <c r="J394" s="2">
        <v>140</v>
      </c>
      <c r="K394" s="2">
        <v>1.5</v>
      </c>
      <c r="L394" s="2">
        <v>0</v>
      </c>
      <c r="M394" s="2">
        <v>210</v>
      </c>
    </row>
    <row r="395" spans="1:13" x14ac:dyDescent="0.2">
      <c r="A395" s="2" t="s">
        <v>1009</v>
      </c>
      <c r="B395" s="2" t="s">
        <v>1010</v>
      </c>
      <c r="C395" s="2" t="s">
        <v>94</v>
      </c>
      <c r="D395" s="2" t="s">
        <v>52</v>
      </c>
      <c r="E395" s="2" t="s">
        <v>4128</v>
      </c>
      <c r="F395" s="5"/>
      <c r="G395" s="4">
        <v>0</v>
      </c>
      <c r="H395" s="4"/>
      <c r="I395" s="2" t="s">
        <v>26</v>
      </c>
      <c r="J395" s="2">
        <v>140</v>
      </c>
      <c r="K395" s="2">
        <v>1.5</v>
      </c>
      <c r="L395" s="2">
        <v>210</v>
      </c>
      <c r="M395" s="2">
        <v>0</v>
      </c>
    </row>
    <row r="396" spans="1:13" x14ac:dyDescent="0.2">
      <c r="A396" s="2" t="s">
        <v>3474</v>
      </c>
      <c r="B396" s="2" t="s">
        <v>3475</v>
      </c>
      <c r="C396" s="2" t="s">
        <v>54</v>
      </c>
      <c r="D396" s="2" t="s">
        <v>52</v>
      </c>
      <c r="E396" s="2" t="s">
        <v>4128</v>
      </c>
      <c r="F396" s="5"/>
      <c r="G396" s="4">
        <v>0</v>
      </c>
      <c r="H396" s="4"/>
      <c r="I396" s="2" t="s">
        <v>26</v>
      </c>
      <c r="J396" s="2">
        <v>140</v>
      </c>
      <c r="K396" s="2">
        <v>1.5</v>
      </c>
      <c r="L396" s="2">
        <v>0</v>
      </c>
      <c r="M396" s="2">
        <v>210</v>
      </c>
    </row>
    <row r="397" spans="1:13" x14ac:dyDescent="0.2">
      <c r="A397" s="2" t="s">
        <v>1007</v>
      </c>
      <c r="B397" s="2" t="s">
        <v>1008</v>
      </c>
      <c r="C397" s="2" t="s">
        <v>1366</v>
      </c>
      <c r="D397" s="2" t="s">
        <v>52</v>
      </c>
      <c r="E397" s="2" t="s">
        <v>4128</v>
      </c>
      <c r="F397" s="5"/>
      <c r="G397" s="4">
        <v>0</v>
      </c>
      <c r="H397" s="4"/>
      <c r="I397" s="2" t="s">
        <v>26</v>
      </c>
      <c r="J397" s="2">
        <v>140</v>
      </c>
      <c r="K397" s="2">
        <v>1.5</v>
      </c>
      <c r="L397" s="2">
        <v>210</v>
      </c>
      <c r="M397" s="2">
        <v>0</v>
      </c>
    </row>
    <row r="398" spans="1:13" x14ac:dyDescent="0.2">
      <c r="A398" s="2" t="s">
        <v>3476</v>
      </c>
      <c r="B398" s="2" t="s">
        <v>3477</v>
      </c>
      <c r="C398" s="2" t="s">
        <v>66</v>
      </c>
      <c r="D398" s="2" t="s">
        <v>52</v>
      </c>
      <c r="E398" s="2" t="s">
        <v>4128</v>
      </c>
      <c r="F398" s="5"/>
      <c r="G398" s="4">
        <v>200</v>
      </c>
      <c r="H398" s="4"/>
      <c r="I398" s="2" t="s">
        <v>26</v>
      </c>
      <c r="J398" s="2">
        <v>140</v>
      </c>
      <c r="K398" s="2">
        <v>1.5</v>
      </c>
      <c r="L398" s="2">
        <v>0</v>
      </c>
      <c r="M398" s="2">
        <v>210</v>
      </c>
    </row>
    <row r="399" spans="1:13" x14ac:dyDescent="0.2">
      <c r="A399" s="2" t="s">
        <v>4012</v>
      </c>
      <c r="B399" s="2" t="s">
        <v>4013</v>
      </c>
      <c r="C399" s="2" t="s">
        <v>4125</v>
      </c>
      <c r="D399" s="2" t="s">
        <v>52</v>
      </c>
      <c r="E399" s="2" t="s">
        <v>4128</v>
      </c>
      <c r="F399" s="5"/>
      <c r="G399" s="4">
        <v>0</v>
      </c>
      <c r="H399" s="4"/>
      <c r="I399" s="2" t="s">
        <v>26</v>
      </c>
      <c r="J399" s="2">
        <v>140</v>
      </c>
      <c r="K399" s="2">
        <v>1.5</v>
      </c>
      <c r="L399" s="2">
        <v>210</v>
      </c>
      <c r="M399" s="2">
        <v>0</v>
      </c>
    </row>
    <row r="400" spans="1:13" x14ac:dyDescent="0.2">
      <c r="A400" s="4" t="s">
        <v>649</v>
      </c>
      <c r="B400" s="4" t="s">
        <v>650</v>
      </c>
      <c r="C400" s="4" t="s">
        <v>4124</v>
      </c>
      <c r="D400" s="4" t="s">
        <v>63</v>
      </c>
      <c r="E400" s="4" t="s">
        <v>88</v>
      </c>
      <c r="F400" s="5"/>
      <c r="G400" s="4">
        <v>0</v>
      </c>
      <c r="H400" s="4"/>
      <c r="I400" s="4" t="s">
        <v>26</v>
      </c>
      <c r="J400" s="4">
        <v>140</v>
      </c>
      <c r="K400" s="4">
        <v>1.5</v>
      </c>
      <c r="L400" s="4">
        <v>0</v>
      </c>
      <c r="M400" s="4">
        <v>210</v>
      </c>
    </row>
    <row r="401" spans="1:13" x14ac:dyDescent="0.2">
      <c r="A401" s="2" t="s">
        <v>653</v>
      </c>
      <c r="B401" s="2" t="s">
        <v>654</v>
      </c>
      <c r="C401" s="2" t="s">
        <v>66</v>
      </c>
      <c r="D401" s="2" t="s">
        <v>52</v>
      </c>
      <c r="E401" s="2" t="s">
        <v>4128</v>
      </c>
      <c r="F401" s="5"/>
      <c r="G401" s="4">
        <v>0</v>
      </c>
      <c r="H401" s="4"/>
      <c r="I401" s="2" t="s">
        <v>26</v>
      </c>
      <c r="J401" s="2">
        <v>140</v>
      </c>
      <c r="K401" s="2">
        <v>1.5</v>
      </c>
      <c r="L401" s="2">
        <v>0</v>
      </c>
      <c r="M401" s="2">
        <v>210</v>
      </c>
    </row>
    <row r="402" spans="1:13" x14ac:dyDescent="0.2">
      <c r="A402" s="2" t="s">
        <v>4014</v>
      </c>
      <c r="B402" s="2" t="s">
        <v>4015</v>
      </c>
      <c r="C402" s="2" t="s">
        <v>19</v>
      </c>
      <c r="D402" s="2" t="s">
        <v>52</v>
      </c>
      <c r="E402" s="2" t="s">
        <v>4128</v>
      </c>
      <c r="F402" s="5"/>
      <c r="G402" s="4">
        <v>0</v>
      </c>
      <c r="H402" s="4"/>
      <c r="I402" s="2" t="s">
        <v>26</v>
      </c>
      <c r="J402" s="2">
        <v>140</v>
      </c>
      <c r="K402" s="2">
        <v>1.5</v>
      </c>
      <c r="L402" s="2">
        <v>0</v>
      </c>
      <c r="M402" s="2">
        <v>210</v>
      </c>
    </row>
    <row r="403" spans="1:13" x14ac:dyDescent="0.2">
      <c r="A403" s="2" t="s">
        <v>639</v>
      </c>
      <c r="B403" s="2" t="s">
        <v>640</v>
      </c>
      <c r="C403" s="2" t="s">
        <v>91</v>
      </c>
      <c r="D403" s="2" t="s">
        <v>52</v>
      </c>
      <c r="E403" s="2" t="s">
        <v>4128</v>
      </c>
      <c r="F403" s="5"/>
      <c r="G403" s="4">
        <v>0</v>
      </c>
      <c r="H403" s="4"/>
      <c r="I403" s="2" t="s">
        <v>26</v>
      </c>
      <c r="J403" s="2">
        <v>140</v>
      </c>
      <c r="K403" s="2">
        <v>1.5</v>
      </c>
      <c r="L403" s="2">
        <v>0</v>
      </c>
      <c r="M403" s="2">
        <v>210</v>
      </c>
    </row>
    <row r="404" spans="1:13" x14ac:dyDescent="0.2">
      <c r="A404" s="4" t="s">
        <v>3478</v>
      </c>
      <c r="B404" s="4" t="s">
        <v>3479</v>
      </c>
      <c r="C404" s="4" t="s">
        <v>4124</v>
      </c>
      <c r="D404" s="4" t="s">
        <v>63</v>
      </c>
      <c r="E404" s="4" t="s">
        <v>88</v>
      </c>
      <c r="F404" s="5"/>
      <c r="G404" s="4">
        <v>0</v>
      </c>
      <c r="H404" s="4"/>
      <c r="I404" s="4" t="s">
        <v>26</v>
      </c>
      <c r="J404" s="4">
        <v>140</v>
      </c>
      <c r="K404" s="4">
        <v>1.5</v>
      </c>
      <c r="L404" s="4">
        <v>0</v>
      </c>
      <c r="M404" s="4">
        <v>210</v>
      </c>
    </row>
    <row r="405" spans="1:13" x14ac:dyDescent="0.2">
      <c r="A405" s="2" t="s">
        <v>1135</v>
      </c>
      <c r="B405" s="2" t="s">
        <v>1136</v>
      </c>
      <c r="C405" s="2" t="s">
        <v>1366</v>
      </c>
      <c r="D405" s="2" t="s">
        <v>52</v>
      </c>
      <c r="E405" s="2" t="s">
        <v>4128</v>
      </c>
      <c r="F405" s="5"/>
      <c r="G405" s="4">
        <v>0</v>
      </c>
      <c r="H405" s="4"/>
      <c r="I405" s="2" t="s">
        <v>26</v>
      </c>
      <c r="J405" s="2">
        <v>140</v>
      </c>
      <c r="K405" s="2">
        <v>1.5</v>
      </c>
      <c r="L405" s="2">
        <v>210</v>
      </c>
      <c r="M405" s="2">
        <v>0</v>
      </c>
    </row>
    <row r="406" spans="1:13" x14ac:dyDescent="0.2">
      <c r="A406" s="2" t="s">
        <v>133</v>
      </c>
      <c r="B406" s="2" t="s">
        <v>134</v>
      </c>
      <c r="C406" s="2" t="s">
        <v>94</v>
      </c>
      <c r="D406" s="2" t="s">
        <v>52</v>
      </c>
      <c r="E406" s="2" t="s">
        <v>4128</v>
      </c>
      <c r="F406" s="5"/>
      <c r="G406" s="4">
        <v>0</v>
      </c>
      <c r="H406" s="4"/>
      <c r="I406" s="2" t="s">
        <v>26</v>
      </c>
      <c r="J406" s="2">
        <v>140</v>
      </c>
      <c r="K406" s="2">
        <v>1.5</v>
      </c>
      <c r="L406" s="2">
        <v>210</v>
      </c>
      <c r="M406" s="2">
        <v>0</v>
      </c>
    </row>
    <row r="407" spans="1:13" x14ac:dyDescent="0.2">
      <c r="A407" s="2" t="s">
        <v>673</v>
      </c>
      <c r="B407" s="2" t="s">
        <v>674</v>
      </c>
      <c r="C407" s="2" t="s">
        <v>66</v>
      </c>
      <c r="D407" s="2" t="s">
        <v>52</v>
      </c>
      <c r="E407" s="2" t="s">
        <v>4128</v>
      </c>
      <c r="F407" s="5"/>
      <c r="G407" s="4">
        <v>0</v>
      </c>
      <c r="H407" s="4"/>
      <c r="I407" s="2" t="s">
        <v>26</v>
      </c>
      <c r="J407" s="2">
        <v>140</v>
      </c>
      <c r="K407" s="2">
        <v>1.5</v>
      </c>
      <c r="L407" s="2">
        <v>0</v>
      </c>
      <c r="M407" s="2">
        <v>210</v>
      </c>
    </row>
    <row r="408" spans="1:13" x14ac:dyDescent="0.2">
      <c r="A408" s="2" t="s">
        <v>3480</v>
      </c>
      <c r="B408" s="2" t="s">
        <v>3481</v>
      </c>
      <c r="C408" s="2" t="s">
        <v>592</v>
      </c>
      <c r="D408" s="2" t="s">
        <v>52</v>
      </c>
      <c r="E408" s="2" t="s">
        <v>4128</v>
      </c>
      <c r="F408" s="5"/>
      <c r="G408" s="4">
        <v>0</v>
      </c>
      <c r="H408" s="4"/>
      <c r="I408" s="2" t="s">
        <v>26</v>
      </c>
      <c r="J408" s="2">
        <v>140</v>
      </c>
      <c r="K408" s="2">
        <v>1.5</v>
      </c>
      <c r="L408" s="2">
        <v>0</v>
      </c>
      <c r="M408" s="2">
        <v>210</v>
      </c>
    </row>
    <row r="409" spans="1:13" x14ac:dyDescent="0.2">
      <c r="A409" s="2" t="s">
        <v>3482</v>
      </c>
      <c r="B409" s="2" t="s">
        <v>3483</v>
      </c>
      <c r="C409" s="2" t="s">
        <v>66</v>
      </c>
      <c r="D409" s="2" t="s">
        <v>52</v>
      </c>
      <c r="E409" s="2" t="s">
        <v>4128</v>
      </c>
      <c r="F409" s="5"/>
      <c r="G409" s="4">
        <v>0</v>
      </c>
      <c r="H409" s="4"/>
      <c r="I409" s="2" t="s">
        <v>26</v>
      </c>
      <c r="J409" s="2">
        <v>140</v>
      </c>
      <c r="K409" s="2">
        <v>1.5</v>
      </c>
      <c r="L409" s="2">
        <v>0</v>
      </c>
      <c r="M409" s="2">
        <v>210</v>
      </c>
    </row>
    <row r="410" spans="1:13" x14ac:dyDescent="0.2">
      <c r="A410" s="2" t="s">
        <v>3484</v>
      </c>
      <c r="B410" s="2" t="s">
        <v>3485</v>
      </c>
      <c r="C410" s="2" t="s">
        <v>1366</v>
      </c>
      <c r="D410" s="2" t="s">
        <v>52</v>
      </c>
      <c r="E410" s="2" t="s">
        <v>4128</v>
      </c>
      <c r="F410" s="5"/>
      <c r="G410" s="4">
        <v>0</v>
      </c>
      <c r="H410" s="4"/>
      <c r="I410" s="2" t="s">
        <v>26</v>
      </c>
      <c r="J410" s="2">
        <v>140</v>
      </c>
      <c r="K410" s="2">
        <v>1.5</v>
      </c>
      <c r="L410" s="2">
        <v>0</v>
      </c>
      <c r="M410" s="2">
        <v>210</v>
      </c>
    </row>
    <row r="411" spans="1:13" x14ac:dyDescent="0.2">
      <c r="A411" s="2" t="s">
        <v>3486</v>
      </c>
      <c r="B411" s="2" t="s">
        <v>3487</v>
      </c>
      <c r="C411" s="2" t="s">
        <v>19</v>
      </c>
      <c r="D411" s="2" t="s">
        <v>52</v>
      </c>
      <c r="E411" s="2" t="s">
        <v>4128</v>
      </c>
      <c r="F411" s="5"/>
      <c r="G411" s="4">
        <v>0</v>
      </c>
      <c r="H411" s="4"/>
      <c r="I411" s="2" t="s">
        <v>26</v>
      </c>
      <c r="J411" s="2">
        <v>140</v>
      </c>
      <c r="K411" s="2">
        <v>1.5</v>
      </c>
      <c r="L411" s="2">
        <v>0</v>
      </c>
      <c r="M411" s="2">
        <v>210</v>
      </c>
    </row>
    <row r="412" spans="1:13" x14ac:dyDescent="0.2">
      <c r="A412" s="2" t="s">
        <v>3488</v>
      </c>
      <c r="B412" s="2" t="s">
        <v>3489</v>
      </c>
      <c r="C412" s="2" t="s">
        <v>66</v>
      </c>
      <c r="D412" s="2" t="s">
        <v>52</v>
      </c>
      <c r="E412" s="2" t="s">
        <v>4128</v>
      </c>
      <c r="F412" s="5"/>
      <c r="G412" s="4">
        <v>0</v>
      </c>
      <c r="H412" s="4"/>
      <c r="I412" s="2" t="s">
        <v>26</v>
      </c>
      <c r="J412" s="2">
        <v>140</v>
      </c>
      <c r="K412" s="2">
        <v>1.5</v>
      </c>
      <c r="L412" s="2">
        <v>0</v>
      </c>
      <c r="M412" s="2">
        <v>210</v>
      </c>
    </row>
    <row r="413" spans="1:13" x14ac:dyDescent="0.2">
      <c r="A413" s="2" t="s">
        <v>683</v>
      </c>
      <c r="B413" s="2" t="s">
        <v>684</v>
      </c>
      <c r="C413" s="2" t="s">
        <v>592</v>
      </c>
      <c r="D413" s="2" t="s">
        <v>52</v>
      </c>
      <c r="E413" s="2" t="s">
        <v>4128</v>
      </c>
      <c r="F413" s="5"/>
      <c r="G413" s="4">
        <v>0</v>
      </c>
      <c r="H413" s="4"/>
      <c r="I413" s="2" t="s">
        <v>26</v>
      </c>
      <c r="J413" s="2">
        <v>140</v>
      </c>
      <c r="K413" s="2">
        <v>1.5</v>
      </c>
      <c r="L413" s="2">
        <v>0</v>
      </c>
      <c r="M413" s="2">
        <v>210</v>
      </c>
    </row>
    <row r="414" spans="1:13" x14ac:dyDescent="0.2">
      <c r="A414" s="2" t="s">
        <v>4016</v>
      </c>
      <c r="B414" s="2" t="s">
        <v>4017</v>
      </c>
      <c r="C414" s="2" t="s">
        <v>66</v>
      </c>
      <c r="D414" s="2" t="s">
        <v>52</v>
      </c>
      <c r="E414" s="2" t="s">
        <v>4128</v>
      </c>
      <c r="F414" s="5"/>
      <c r="G414" s="4">
        <v>0</v>
      </c>
      <c r="H414" s="4"/>
      <c r="I414" s="2" t="s">
        <v>26</v>
      </c>
      <c r="J414" s="2">
        <v>140</v>
      </c>
      <c r="K414" s="2">
        <v>1.5</v>
      </c>
      <c r="L414" s="2">
        <v>0</v>
      </c>
      <c r="M414" s="2">
        <v>210</v>
      </c>
    </row>
    <row r="415" spans="1:13" x14ac:dyDescent="0.2">
      <c r="A415" s="2" t="s">
        <v>679</v>
      </c>
      <c r="B415" s="2" t="s">
        <v>680</v>
      </c>
      <c r="C415" s="2" t="s">
        <v>1366</v>
      </c>
      <c r="D415" s="2" t="s">
        <v>52</v>
      </c>
      <c r="E415" s="2" t="s">
        <v>4128</v>
      </c>
      <c r="F415" s="5"/>
      <c r="G415" s="4">
        <v>0</v>
      </c>
      <c r="H415" s="4"/>
      <c r="I415" s="2" t="s">
        <v>26</v>
      </c>
      <c r="J415" s="2">
        <v>140</v>
      </c>
      <c r="K415" s="2">
        <v>1.5</v>
      </c>
      <c r="L415" s="2">
        <v>0</v>
      </c>
      <c r="M415" s="2">
        <v>210</v>
      </c>
    </row>
    <row r="416" spans="1:13" x14ac:dyDescent="0.2">
      <c r="A416" s="2" t="s">
        <v>709</v>
      </c>
      <c r="B416" s="2" t="s">
        <v>710</v>
      </c>
      <c r="C416" s="2" t="s">
        <v>91</v>
      </c>
      <c r="D416" s="2" t="s">
        <v>52</v>
      </c>
      <c r="E416" s="2" t="s">
        <v>4128</v>
      </c>
      <c r="F416" s="5"/>
      <c r="G416" s="4">
        <v>0</v>
      </c>
      <c r="H416" s="4"/>
      <c r="I416" s="2" t="s">
        <v>26</v>
      </c>
      <c r="J416" s="2">
        <v>140</v>
      </c>
      <c r="K416" s="2">
        <v>1.5</v>
      </c>
      <c r="L416" s="2">
        <v>0</v>
      </c>
      <c r="M416" s="2">
        <v>210</v>
      </c>
    </row>
    <row r="417" spans="1:13" x14ac:dyDescent="0.2">
      <c r="A417" s="2" t="s">
        <v>141</v>
      </c>
      <c r="B417" s="2" t="s">
        <v>142</v>
      </c>
      <c r="C417" s="2" t="s">
        <v>7</v>
      </c>
      <c r="D417" s="2" t="s">
        <v>52</v>
      </c>
      <c r="E417" s="2" t="s">
        <v>4128</v>
      </c>
      <c r="F417" s="5"/>
      <c r="G417" s="4">
        <v>0</v>
      </c>
      <c r="H417" s="4"/>
      <c r="I417" s="2" t="s">
        <v>26</v>
      </c>
      <c r="J417" s="2">
        <v>140</v>
      </c>
      <c r="K417" s="2">
        <v>1.5</v>
      </c>
      <c r="L417" s="2">
        <v>210</v>
      </c>
      <c r="M417" s="2">
        <v>0</v>
      </c>
    </row>
    <row r="418" spans="1:13" x14ac:dyDescent="0.2">
      <c r="A418" s="2" t="s">
        <v>135</v>
      </c>
      <c r="B418" s="2" t="s">
        <v>136</v>
      </c>
      <c r="C418" s="2" t="s">
        <v>54</v>
      </c>
      <c r="D418" s="2" t="s">
        <v>52</v>
      </c>
      <c r="E418" s="2" t="s">
        <v>4128</v>
      </c>
      <c r="F418" s="5"/>
      <c r="G418" s="4">
        <v>0</v>
      </c>
      <c r="H418" s="4"/>
      <c r="I418" s="2" t="s">
        <v>26</v>
      </c>
      <c r="J418" s="2">
        <v>140</v>
      </c>
      <c r="K418" s="2">
        <v>1.5</v>
      </c>
      <c r="L418" s="2">
        <v>210</v>
      </c>
      <c r="M418" s="2">
        <v>0</v>
      </c>
    </row>
    <row r="419" spans="1:13" x14ac:dyDescent="0.2">
      <c r="A419" s="2" t="s">
        <v>1029</v>
      </c>
      <c r="B419" s="2" t="s">
        <v>1030</v>
      </c>
      <c r="C419" s="2" t="s">
        <v>66</v>
      </c>
      <c r="D419" s="2" t="s">
        <v>52</v>
      </c>
      <c r="E419" s="2" t="s">
        <v>4128</v>
      </c>
      <c r="F419" s="5"/>
      <c r="G419" s="4">
        <v>0</v>
      </c>
      <c r="H419" s="4"/>
      <c r="I419" s="2" t="s">
        <v>26</v>
      </c>
      <c r="J419" s="2">
        <v>140</v>
      </c>
      <c r="K419" s="2">
        <v>1.5</v>
      </c>
      <c r="L419" s="2">
        <v>210</v>
      </c>
      <c r="M419" s="2">
        <v>0</v>
      </c>
    </row>
    <row r="420" spans="1:13" x14ac:dyDescent="0.2">
      <c r="A420" s="2" t="s">
        <v>3490</v>
      </c>
      <c r="B420" s="2" t="s">
        <v>3491</v>
      </c>
      <c r="C420" s="2" t="s">
        <v>4125</v>
      </c>
      <c r="D420" s="2" t="s">
        <v>52</v>
      </c>
      <c r="E420" s="2" t="s">
        <v>4128</v>
      </c>
      <c r="F420" s="5"/>
      <c r="G420" s="4">
        <v>0</v>
      </c>
      <c r="H420" s="4"/>
      <c r="I420" s="2" t="s">
        <v>26</v>
      </c>
      <c r="J420" s="2">
        <v>140</v>
      </c>
      <c r="K420" s="2">
        <v>1.5</v>
      </c>
      <c r="L420" s="2">
        <v>0</v>
      </c>
      <c r="M420" s="2">
        <v>210</v>
      </c>
    </row>
    <row r="421" spans="1:13" x14ac:dyDescent="0.2">
      <c r="A421" s="2" t="s">
        <v>3492</v>
      </c>
      <c r="B421" s="2" t="s">
        <v>3493</v>
      </c>
      <c r="C421" s="2" t="s">
        <v>4125</v>
      </c>
      <c r="D421" s="2" t="s">
        <v>52</v>
      </c>
      <c r="E421" s="2" t="s">
        <v>4128</v>
      </c>
      <c r="F421" s="5"/>
      <c r="G421" s="4">
        <v>0</v>
      </c>
      <c r="H421" s="4"/>
      <c r="I421" s="2" t="s">
        <v>26</v>
      </c>
      <c r="J421" s="2">
        <v>140</v>
      </c>
      <c r="K421" s="2">
        <v>1.5</v>
      </c>
      <c r="L421" s="2">
        <v>0</v>
      </c>
      <c r="M421" s="2">
        <v>210</v>
      </c>
    </row>
    <row r="422" spans="1:13" x14ac:dyDescent="0.2">
      <c r="A422" s="2" t="s">
        <v>3494</v>
      </c>
      <c r="B422" s="2" t="s">
        <v>3495</v>
      </c>
      <c r="C422" s="2" t="s">
        <v>4125</v>
      </c>
      <c r="D422" s="2" t="s">
        <v>52</v>
      </c>
      <c r="E422" s="2" t="s">
        <v>4128</v>
      </c>
      <c r="F422" s="5"/>
      <c r="G422" s="4">
        <v>0</v>
      </c>
      <c r="H422" s="4"/>
      <c r="I422" s="2" t="s">
        <v>26</v>
      </c>
      <c r="J422" s="2">
        <v>140</v>
      </c>
      <c r="K422" s="2">
        <v>1.5</v>
      </c>
      <c r="L422" s="2">
        <v>0</v>
      </c>
      <c r="M422" s="2">
        <v>210</v>
      </c>
    </row>
    <row r="423" spans="1:13" x14ac:dyDescent="0.2">
      <c r="A423" s="2" t="s">
        <v>3496</v>
      </c>
      <c r="B423" s="2" t="s">
        <v>3497</v>
      </c>
      <c r="C423" s="2" t="s">
        <v>592</v>
      </c>
      <c r="D423" s="2" t="s">
        <v>52</v>
      </c>
      <c r="E423" s="2" t="s">
        <v>4128</v>
      </c>
      <c r="F423" s="5"/>
      <c r="G423" s="4">
        <v>0</v>
      </c>
      <c r="H423" s="4"/>
      <c r="I423" s="2" t="s">
        <v>26</v>
      </c>
      <c r="J423" s="2">
        <v>140</v>
      </c>
      <c r="K423" s="2">
        <v>1.5</v>
      </c>
      <c r="L423" s="2">
        <v>0</v>
      </c>
      <c r="M423" s="2">
        <v>210</v>
      </c>
    </row>
    <row r="424" spans="1:13" x14ac:dyDescent="0.2">
      <c r="A424" s="2" t="s">
        <v>3498</v>
      </c>
      <c r="B424" s="2" t="s">
        <v>3499</v>
      </c>
      <c r="C424" s="2" t="s">
        <v>592</v>
      </c>
      <c r="D424" s="2" t="s">
        <v>52</v>
      </c>
      <c r="E424" s="2" t="s">
        <v>4128</v>
      </c>
      <c r="F424" s="5"/>
      <c r="G424" s="4">
        <v>0</v>
      </c>
      <c r="H424" s="4"/>
      <c r="I424" s="2" t="s">
        <v>26</v>
      </c>
      <c r="J424" s="2">
        <v>140</v>
      </c>
      <c r="K424" s="2">
        <v>1.5</v>
      </c>
      <c r="L424" s="2">
        <v>0</v>
      </c>
      <c r="M424" s="2">
        <v>210</v>
      </c>
    </row>
    <row r="425" spans="1:13" x14ac:dyDescent="0.2">
      <c r="A425" s="2" t="s">
        <v>3500</v>
      </c>
      <c r="B425" s="2" t="s">
        <v>3501</v>
      </c>
      <c r="C425" s="2" t="s">
        <v>4125</v>
      </c>
      <c r="D425" s="2" t="s">
        <v>52</v>
      </c>
      <c r="E425" s="2" t="s">
        <v>4128</v>
      </c>
      <c r="F425" s="5"/>
      <c r="G425" s="4">
        <v>0</v>
      </c>
      <c r="H425" s="4"/>
      <c r="I425" s="2" t="s">
        <v>26</v>
      </c>
      <c r="J425" s="2">
        <v>140</v>
      </c>
      <c r="K425" s="2">
        <v>1.5</v>
      </c>
      <c r="L425" s="2">
        <v>0</v>
      </c>
      <c r="M425" s="2">
        <v>210</v>
      </c>
    </row>
    <row r="426" spans="1:13" x14ac:dyDescent="0.2">
      <c r="A426" s="2" t="s">
        <v>1049</v>
      </c>
      <c r="B426" s="2" t="s">
        <v>1050</v>
      </c>
      <c r="C426" s="2" t="s">
        <v>94</v>
      </c>
      <c r="D426" s="2" t="s">
        <v>52</v>
      </c>
      <c r="E426" s="2" t="s">
        <v>4128</v>
      </c>
      <c r="F426" s="5"/>
      <c r="G426" s="4">
        <v>0</v>
      </c>
      <c r="H426" s="4"/>
      <c r="I426" s="2" t="s">
        <v>26</v>
      </c>
      <c r="J426" s="2">
        <v>140</v>
      </c>
      <c r="K426" s="2">
        <v>1.5</v>
      </c>
      <c r="L426" s="2">
        <v>210</v>
      </c>
      <c r="M426" s="2">
        <v>0</v>
      </c>
    </row>
    <row r="427" spans="1:13" x14ac:dyDescent="0.2">
      <c r="A427" s="2" t="s">
        <v>3502</v>
      </c>
      <c r="B427" s="2" t="s">
        <v>3503</v>
      </c>
      <c r="C427" s="2" t="s">
        <v>592</v>
      </c>
      <c r="D427" s="2" t="s">
        <v>52</v>
      </c>
      <c r="E427" s="2" t="s">
        <v>4128</v>
      </c>
      <c r="F427" s="5"/>
      <c r="G427" s="4">
        <v>0</v>
      </c>
      <c r="H427" s="4"/>
      <c r="I427" s="2" t="s">
        <v>26</v>
      </c>
      <c r="J427" s="2">
        <v>140</v>
      </c>
      <c r="K427" s="2">
        <v>1.5</v>
      </c>
      <c r="L427" s="2">
        <v>0</v>
      </c>
      <c r="M427" s="2">
        <v>210</v>
      </c>
    </row>
    <row r="428" spans="1:13" x14ac:dyDescent="0.2">
      <c r="A428" s="2" t="s">
        <v>743</v>
      </c>
      <c r="B428" s="2" t="s">
        <v>744</v>
      </c>
      <c r="C428" s="2" t="s">
        <v>91</v>
      </c>
      <c r="D428" s="2" t="s">
        <v>52</v>
      </c>
      <c r="E428" s="2" t="s">
        <v>4128</v>
      </c>
      <c r="F428" s="5"/>
      <c r="G428" s="4">
        <v>0</v>
      </c>
      <c r="H428" s="4"/>
      <c r="I428" s="2" t="s">
        <v>26</v>
      </c>
      <c r="J428" s="2">
        <v>140</v>
      </c>
      <c r="K428" s="2">
        <v>1.5</v>
      </c>
      <c r="L428" s="2">
        <v>0</v>
      </c>
      <c r="M428" s="2">
        <v>210</v>
      </c>
    </row>
    <row r="429" spans="1:13" x14ac:dyDescent="0.2">
      <c r="A429" s="2" t="s">
        <v>763</v>
      </c>
      <c r="B429" s="2" t="s">
        <v>764</v>
      </c>
      <c r="C429" s="2" t="s">
        <v>94</v>
      </c>
      <c r="D429" s="2" t="s">
        <v>52</v>
      </c>
      <c r="E429" s="2" t="s">
        <v>4128</v>
      </c>
      <c r="F429" s="5"/>
      <c r="G429" s="4">
        <v>0</v>
      </c>
      <c r="H429" s="4"/>
      <c r="I429" s="2" t="s">
        <v>26</v>
      </c>
      <c r="J429" s="2">
        <v>140</v>
      </c>
      <c r="K429" s="2">
        <v>1.5</v>
      </c>
      <c r="L429" s="2">
        <v>0</v>
      </c>
      <c r="M429" s="2">
        <v>210</v>
      </c>
    </row>
    <row r="430" spans="1:13" x14ac:dyDescent="0.2">
      <c r="A430" s="2" t="s">
        <v>767</v>
      </c>
      <c r="B430" s="2" t="s">
        <v>768</v>
      </c>
      <c r="C430" s="2" t="s">
        <v>1366</v>
      </c>
      <c r="D430" s="2" t="s">
        <v>52</v>
      </c>
      <c r="E430" s="2" t="s">
        <v>4128</v>
      </c>
      <c r="F430" s="5"/>
      <c r="G430" s="4">
        <v>0</v>
      </c>
      <c r="H430" s="4"/>
      <c r="I430" s="2" t="s">
        <v>26</v>
      </c>
      <c r="J430" s="2">
        <v>140</v>
      </c>
      <c r="K430" s="2">
        <v>1.5</v>
      </c>
      <c r="L430" s="2">
        <v>0</v>
      </c>
      <c r="M430" s="2">
        <v>210</v>
      </c>
    </row>
    <row r="431" spans="1:13" x14ac:dyDescent="0.2">
      <c r="A431" s="2" t="s">
        <v>3504</v>
      </c>
      <c r="B431" s="2" t="s">
        <v>3505</v>
      </c>
      <c r="C431" s="2" t="s">
        <v>94</v>
      </c>
      <c r="D431" s="2" t="s">
        <v>52</v>
      </c>
      <c r="E431" s="2" t="s">
        <v>4128</v>
      </c>
      <c r="F431" s="5"/>
      <c r="G431" s="4">
        <v>0</v>
      </c>
      <c r="H431" s="4"/>
      <c r="I431" s="2" t="s">
        <v>26</v>
      </c>
      <c r="J431" s="2">
        <v>140</v>
      </c>
      <c r="K431" s="2">
        <v>1.5</v>
      </c>
      <c r="L431" s="2">
        <v>0</v>
      </c>
      <c r="M431" s="2">
        <v>210</v>
      </c>
    </row>
    <row r="432" spans="1:13" x14ac:dyDescent="0.2">
      <c r="A432" s="4" t="s">
        <v>3506</v>
      </c>
      <c r="B432" s="4" t="s">
        <v>3507</v>
      </c>
      <c r="C432" s="4" t="s">
        <v>4124</v>
      </c>
      <c r="D432" s="4" t="s">
        <v>63</v>
      </c>
      <c r="E432" s="4" t="s">
        <v>88</v>
      </c>
      <c r="F432" s="5"/>
      <c r="G432" s="4">
        <v>0</v>
      </c>
      <c r="H432" s="4"/>
      <c r="I432" s="4" t="s">
        <v>26</v>
      </c>
      <c r="J432" s="4">
        <v>140</v>
      </c>
      <c r="K432" s="4">
        <v>1.5</v>
      </c>
      <c r="L432" s="4">
        <v>0</v>
      </c>
      <c r="M432" s="4">
        <v>210</v>
      </c>
    </row>
    <row r="433" spans="1:13" x14ac:dyDescent="0.2">
      <c r="A433" s="2" t="s">
        <v>797</v>
      </c>
      <c r="B433" s="2" t="s">
        <v>798</v>
      </c>
      <c r="C433" s="2" t="s">
        <v>1366</v>
      </c>
      <c r="D433" s="2" t="s">
        <v>52</v>
      </c>
      <c r="E433" s="2" t="s">
        <v>4128</v>
      </c>
      <c r="F433" s="5">
        <v>45940</v>
      </c>
      <c r="G433" s="4">
        <v>31814.01</v>
      </c>
      <c r="H433" s="4" t="s">
        <v>4134</v>
      </c>
      <c r="I433" s="2" t="s">
        <v>26</v>
      </c>
      <c r="J433" s="2">
        <v>140</v>
      </c>
      <c r="K433" s="2">
        <v>1.5</v>
      </c>
      <c r="L433" s="2">
        <v>0</v>
      </c>
      <c r="M433" s="2">
        <v>210</v>
      </c>
    </row>
    <row r="434" spans="1:13" x14ac:dyDescent="0.2">
      <c r="A434" s="2" t="s">
        <v>1225</v>
      </c>
      <c r="B434" s="2" t="s">
        <v>1226</v>
      </c>
      <c r="C434" s="2" t="s">
        <v>1366</v>
      </c>
      <c r="D434" s="2" t="s">
        <v>52</v>
      </c>
      <c r="E434" s="2" t="s">
        <v>4128</v>
      </c>
      <c r="F434" s="5"/>
      <c r="G434" s="4">
        <v>0</v>
      </c>
      <c r="H434" s="4"/>
      <c r="I434" s="2" t="s">
        <v>26</v>
      </c>
      <c r="J434" s="2">
        <v>140</v>
      </c>
      <c r="K434" s="2">
        <v>1.5</v>
      </c>
      <c r="L434" s="2">
        <v>345</v>
      </c>
      <c r="M434" s="2">
        <v>0</v>
      </c>
    </row>
    <row r="435" spans="1:13" x14ac:dyDescent="0.2">
      <c r="A435" s="2" t="s">
        <v>229</v>
      </c>
      <c r="B435" s="2" t="s">
        <v>230</v>
      </c>
      <c r="C435" s="2" t="s">
        <v>94</v>
      </c>
      <c r="D435" s="2" t="s">
        <v>52</v>
      </c>
      <c r="E435" s="2" t="s">
        <v>4128</v>
      </c>
      <c r="F435" s="5"/>
      <c r="G435" s="4">
        <v>0</v>
      </c>
      <c r="H435" s="4"/>
      <c r="I435" s="2" t="s">
        <v>26</v>
      </c>
      <c r="J435" s="2">
        <v>140</v>
      </c>
      <c r="K435" s="2">
        <v>1.5</v>
      </c>
      <c r="L435" s="2">
        <v>210</v>
      </c>
      <c r="M435" s="2">
        <v>0</v>
      </c>
    </row>
    <row r="436" spans="1:13" x14ac:dyDescent="0.2">
      <c r="A436" s="2" t="s">
        <v>815</v>
      </c>
      <c r="B436" s="2" t="s">
        <v>816</v>
      </c>
      <c r="C436" s="2" t="s">
        <v>1366</v>
      </c>
      <c r="D436" s="2" t="s">
        <v>52</v>
      </c>
      <c r="E436" s="2" t="s">
        <v>4128</v>
      </c>
      <c r="F436" s="5"/>
      <c r="G436" s="4">
        <v>0</v>
      </c>
      <c r="H436" s="4"/>
      <c r="I436" s="2" t="s">
        <v>26</v>
      </c>
      <c r="J436" s="2">
        <v>140</v>
      </c>
      <c r="K436" s="2">
        <v>1.5</v>
      </c>
      <c r="L436" s="2">
        <v>0</v>
      </c>
      <c r="M436" s="2">
        <v>210</v>
      </c>
    </row>
    <row r="437" spans="1:13" x14ac:dyDescent="0.2">
      <c r="A437" s="2" t="s">
        <v>1181</v>
      </c>
      <c r="B437" s="2" t="s">
        <v>1182</v>
      </c>
      <c r="C437" s="2" t="s">
        <v>1366</v>
      </c>
      <c r="D437" s="2" t="s">
        <v>52</v>
      </c>
      <c r="E437" s="2" t="s">
        <v>4128</v>
      </c>
      <c r="F437" s="5"/>
      <c r="G437" s="4">
        <v>0</v>
      </c>
      <c r="H437" s="4"/>
      <c r="I437" s="2" t="s">
        <v>26</v>
      </c>
      <c r="J437" s="2">
        <v>140</v>
      </c>
      <c r="K437" s="2">
        <v>1.5</v>
      </c>
      <c r="L437" s="2">
        <v>345</v>
      </c>
      <c r="M437" s="2">
        <v>0</v>
      </c>
    </row>
    <row r="438" spans="1:13" x14ac:dyDescent="0.2">
      <c r="A438" s="2" t="s">
        <v>1077</v>
      </c>
      <c r="B438" s="2" t="s">
        <v>1078</v>
      </c>
      <c r="C438" s="2" t="s">
        <v>1366</v>
      </c>
      <c r="D438" s="2" t="s">
        <v>52</v>
      </c>
      <c r="E438" s="2" t="s">
        <v>4128</v>
      </c>
      <c r="F438" s="5"/>
      <c r="G438" s="4">
        <v>0</v>
      </c>
      <c r="H438" s="4"/>
      <c r="I438" s="2" t="s">
        <v>26</v>
      </c>
      <c r="J438" s="2">
        <v>140</v>
      </c>
      <c r="K438" s="2">
        <v>1.5</v>
      </c>
      <c r="L438" s="2">
        <v>210</v>
      </c>
      <c r="M438" s="2">
        <v>0</v>
      </c>
    </row>
    <row r="439" spans="1:13" x14ac:dyDescent="0.2">
      <c r="A439" s="2" t="s">
        <v>3508</v>
      </c>
      <c r="B439" s="2" t="s">
        <v>3509</v>
      </c>
      <c r="C439" s="2" t="s">
        <v>66</v>
      </c>
      <c r="D439" s="2" t="s">
        <v>52</v>
      </c>
      <c r="E439" s="2" t="s">
        <v>4128</v>
      </c>
      <c r="F439" s="5"/>
      <c r="G439" s="4">
        <v>0</v>
      </c>
      <c r="H439" s="4"/>
      <c r="I439" s="2" t="s">
        <v>26</v>
      </c>
      <c r="J439" s="2">
        <v>140</v>
      </c>
      <c r="K439" s="2">
        <v>1.5</v>
      </c>
      <c r="L439" s="2">
        <v>0</v>
      </c>
      <c r="M439" s="2">
        <v>210</v>
      </c>
    </row>
    <row r="440" spans="1:13" x14ac:dyDescent="0.2">
      <c r="A440" s="2" t="s">
        <v>3510</v>
      </c>
      <c r="B440" s="2" t="s">
        <v>3511</v>
      </c>
      <c r="C440" s="2" t="s">
        <v>66</v>
      </c>
      <c r="D440" s="2" t="s">
        <v>52</v>
      </c>
      <c r="E440" s="2" t="s">
        <v>4128</v>
      </c>
      <c r="F440" s="5"/>
      <c r="G440" s="4">
        <v>0</v>
      </c>
      <c r="H440" s="4"/>
      <c r="I440" s="2" t="s">
        <v>26</v>
      </c>
      <c r="J440" s="2">
        <v>140</v>
      </c>
      <c r="K440" s="2">
        <v>1.5</v>
      </c>
      <c r="L440" s="2">
        <v>0</v>
      </c>
      <c r="M440" s="2">
        <v>210</v>
      </c>
    </row>
    <row r="441" spans="1:13" x14ac:dyDescent="0.2">
      <c r="A441" s="2" t="s">
        <v>3512</v>
      </c>
      <c r="B441" s="2" t="s">
        <v>3513</v>
      </c>
      <c r="C441" s="2" t="s">
        <v>91</v>
      </c>
      <c r="D441" s="2" t="s">
        <v>52</v>
      </c>
      <c r="E441" s="2" t="s">
        <v>4128</v>
      </c>
      <c r="F441" s="5"/>
      <c r="G441" s="4">
        <v>0</v>
      </c>
      <c r="H441" s="4"/>
      <c r="I441" s="2" t="s">
        <v>26</v>
      </c>
      <c r="J441" s="2">
        <v>140</v>
      </c>
      <c r="K441" s="2">
        <v>1.5</v>
      </c>
      <c r="L441" s="2">
        <v>0</v>
      </c>
      <c r="M441" s="2">
        <v>210</v>
      </c>
    </row>
    <row r="442" spans="1:13" x14ac:dyDescent="0.2">
      <c r="A442" s="2" t="s">
        <v>839</v>
      </c>
      <c r="B442" s="2" t="s">
        <v>840</v>
      </c>
      <c r="C442" s="2" t="s">
        <v>91</v>
      </c>
      <c r="D442" s="2" t="s">
        <v>52</v>
      </c>
      <c r="E442" s="2" t="s">
        <v>4128</v>
      </c>
      <c r="F442" s="5"/>
      <c r="G442" s="4">
        <v>0</v>
      </c>
      <c r="H442" s="4"/>
      <c r="I442" s="2" t="s">
        <v>26</v>
      </c>
      <c r="J442" s="2">
        <v>140</v>
      </c>
      <c r="K442" s="2">
        <v>1.5</v>
      </c>
      <c r="L442" s="2">
        <v>0</v>
      </c>
      <c r="M442" s="2">
        <v>210</v>
      </c>
    </row>
    <row r="443" spans="1:13" x14ac:dyDescent="0.2">
      <c r="A443" s="2" t="s">
        <v>249</v>
      </c>
      <c r="B443" s="2" t="s">
        <v>250</v>
      </c>
      <c r="C443" s="2" t="s">
        <v>7</v>
      </c>
      <c r="D443" s="2" t="s">
        <v>52</v>
      </c>
      <c r="E443" s="2" t="s">
        <v>4128</v>
      </c>
      <c r="F443" s="5"/>
      <c r="G443" s="4">
        <v>0</v>
      </c>
      <c r="H443" s="4"/>
      <c r="I443" s="2" t="s">
        <v>26</v>
      </c>
      <c r="J443" s="2">
        <v>140</v>
      </c>
      <c r="K443" s="2">
        <v>1.5</v>
      </c>
      <c r="L443" s="2">
        <v>600</v>
      </c>
      <c r="M443" s="2">
        <v>0</v>
      </c>
    </row>
    <row r="444" spans="1:13" x14ac:dyDescent="0.2">
      <c r="A444" s="2" t="s">
        <v>851</v>
      </c>
      <c r="B444" s="2" t="s">
        <v>852</v>
      </c>
      <c r="C444" s="2" t="s">
        <v>54</v>
      </c>
      <c r="D444" s="2" t="s">
        <v>52</v>
      </c>
      <c r="E444" s="2" t="s">
        <v>4128</v>
      </c>
      <c r="F444" s="5"/>
      <c r="G444" s="4">
        <v>0</v>
      </c>
      <c r="H444" s="4"/>
      <c r="I444" s="2" t="s">
        <v>26</v>
      </c>
      <c r="J444" s="2">
        <v>140</v>
      </c>
      <c r="K444" s="2">
        <v>1.5</v>
      </c>
      <c r="L444" s="2">
        <v>0</v>
      </c>
      <c r="M444" s="2">
        <v>210</v>
      </c>
    </row>
    <row r="445" spans="1:13" x14ac:dyDescent="0.2">
      <c r="A445" s="2" t="s">
        <v>3514</v>
      </c>
      <c r="B445" s="2" t="s">
        <v>3515</v>
      </c>
      <c r="C445" s="2" t="s">
        <v>7</v>
      </c>
      <c r="D445" s="2" t="s">
        <v>52</v>
      </c>
      <c r="E445" s="2" t="s">
        <v>4128</v>
      </c>
      <c r="F445" s="5"/>
      <c r="G445" s="4">
        <v>0</v>
      </c>
      <c r="H445" s="4"/>
      <c r="I445" s="2" t="s">
        <v>26</v>
      </c>
      <c r="J445" s="2">
        <v>140</v>
      </c>
      <c r="K445" s="2">
        <v>1.5</v>
      </c>
      <c r="L445" s="2">
        <v>0</v>
      </c>
      <c r="M445" s="2">
        <v>210</v>
      </c>
    </row>
    <row r="446" spans="1:13" x14ac:dyDescent="0.2">
      <c r="A446" s="2" t="s">
        <v>259</v>
      </c>
      <c r="B446" s="2" t="s">
        <v>260</v>
      </c>
      <c r="C446" s="2" t="s">
        <v>54</v>
      </c>
      <c r="D446" s="2" t="s">
        <v>52</v>
      </c>
      <c r="E446" s="2" t="s">
        <v>4128</v>
      </c>
      <c r="F446" s="5"/>
      <c r="G446" s="4">
        <v>0</v>
      </c>
      <c r="H446" s="4"/>
      <c r="I446" s="2" t="s">
        <v>26</v>
      </c>
      <c r="J446" s="2">
        <v>140</v>
      </c>
      <c r="K446" s="2">
        <v>1.5</v>
      </c>
      <c r="L446" s="2">
        <v>210</v>
      </c>
      <c r="M446" s="2">
        <v>0</v>
      </c>
    </row>
    <row r="447" spans="1:13" x14ac:dyDescent="0.2">
      <c r="A447" s="2" t="s">
        <v>3516</v>
      </c>
      <c r="B447" s="2" t="s">
        <v>3517</v>
      </c>
      <c r="C447" s="2" t="s">
        <v>4126</v>
      </c>
      <c r="D447" s="2" t="s">
        <v>52</v>
      </c>
      <c r="E447" s="2" t="s">
        <v>4128</v>
      </c>
      <c r="F447" s="5"/>
      <c r="G447" s="4">
        <v>0</v>
      </c>
      <c r="H447" s="4"/>
      <c r="I447" s="2" t="s">
        <v>26</v>
      </c>
      <c r="J447" s="2">
        <v>140</v>
      </c>
      <c r="K447" s="2">
        <v>1.5</v>
      </c>
      <c r="L447" s="2">
        <v>0</v>
      </c>
      <c r="M447" s="2">
        <v>210</v>
      </c>
    </row>
    <row r="448" spans="1:13" x14ac:dyDescent="0.2">
      <c r="A448" s="2" t="s">
        <v>3518</v>
      </c>
      <c r="B448" s="2" t="s">
        <v>3519</v>
      </c>
      <c r="C448" s="2" t="s">
        <v>4125</v>
      </c>
      <c r="D448" s="2" t="s">
        <v>52</v>
      </c>
      <c r="E448" s="2" t="s">
        <v>4128</v>
      </c>
      <c r="F448" s="5"/>
      <c r="G448" s="4">
        <v>0</v>
      </c>
      <c r="H448" s="4"/>
      <c r="I448" s="2" t="s">
        <v>26</v>
      </c>
      <c r="J448" s="2">
        <v>140</v>
      </c>
      <c r="K448" s="2">
        <v>1.5</v>
      </c>
      <c r="L448" s="2">
        <v>0</v>
      </c>
      <c r="M448" s="2">
        <v>210</v>
      </c>
    </row>
    <row r="449" spans="1:13" x14ac:dyDescent="0.2">
      <c r="A449" s="2" t="s">
        <v>3520</v>
      </c>
      <c r="B449" s="2" t="s">
        <v>3521</v>
      </c>
      <c r="C449" s="2" t="s">
        <v>7</v>
      </c>
      <c r="D449" s="2" t="s">
        <v>52</v>
      </c>
      <c r="E449" s="2" t="s">
        <v>4128</v>
      </c>
      <c r="F449" s="5"/>
      <c r="G449" s="4">
        <v>0</v>
      </c>
      <c r="H449" s="4"/>
      <c r="I449" s="2" t="s">
        <v>26</v>
      </c>
      <c r="J449" s="2">
        <v>140</v>
      </c>
      <c r="K449" s="2">
        <v>1.5</v>
      </c>
      <c r="L449" s="2">
        <v>0</v>
      </c>
      <c r="M449" s="2">
        <v>210</v>
      </c>
    </row>
    <row r="450" spans="1:13" x14ac:dyDescent="0.2">
      <c r="A450" s="2" t="s">
        <v>901</v>
      </c>
      <c r="B450" s="2" t="s">
        <v>902</v>
      </c>
      <c r="C450" s="2" t="s">
        <v>66</v>
      </c>
      <c r="D450" s="2" t="s">
        <v>52</v>
      </c>
      <c r="E450" s="2" t="s">
        <v>4128</v>
      </c>
      <c r="F450" s="5"/>
      <c r="G450" s="4">
        <v>0</v>
      </c>
      <c r="H450" s="4"/>
      <c r="I450" s="2" t="s">
        <v>26</v>
      </c>
      <c r="J450" s="2">
        <v>140</v>
      </c>
      <c r="K450" s="2">
        <v>1.5</v>
      </c>
      <c r="L450" s="2">
        <v>0</v>
      </c>
      <c r="M450" s="2">
        <v>210</v>
      </c>
    </row>
    <row r="451" spans="1:13" x14ac:dyDescent="0.2">
      <c r="A451" s="2" t="s">
        <v>3522</v>
      </c>
      <c r="B451" s="2" t="s">
        <v>3523</v>
      </c>
      <c r="C451" s="2" t="s">
        <v>592</v>
      </c>
      <c r="D451" s="2" t="s">
        <v>52</v>
      </c>
      <c r="E451" s="2" t="s">
        <v>4128</v>
      </c>
      <c r="F451" s="5"/>
      <c r="G451" s="4">
        <v>0</v>
      </c>
      <c r="H451" s="4"/>
      <c r="I451" s="2" t="s">
        <v>26</v>
      </c>
      <c r="J451" s="2">
        <v>140</v>
      </c>
      <c r="K451" s="2">
        <v>1.5</v>
      </c>
      <c r="L451" s="2">
        <v>0</v>
      </c>
      <c r="M451" s="2">
        <v>210</v>
      </c>
    </row>
    <row r="452" spans="1:13" x14ac:dyDescent="0.2">
      <c r="A452" s="2" t="s">
        <v>899</v>
      </c>
      <c r="B452" s="2" t="s">
        <v>900</v>
      </c>
      <c r="C452" s="2" t="s">
        <v>94</v>
      </c>
      <c r="D452" s="2" t="s">
        <v>52</v>
      </c>
      <c r="E452" s="2" t="s">
        <v>4128</v>
      </c>
      <c r="F452" s="5"/>
      <c r="G452" s="4">
        <v>0</v>
      </c>
      <c r="H452" s="4"/>
      <c r="I452" s="2" t="s">
        <v>26</v>
      </c>
      <c r="J452" s="2">
        <v>140</v>
      </c>
      <c r="K452" s="2">
        <v>1.5</v>
      </c>
      <c r="L452" s="2">
        <v>0</v>
      </c>
      <c r="M452" s="2">
        <v>210</v>
      </c>
    </row>
    <row r="453" spans="1:13" x14ac:dyDescent="0.2">
      <c r="A453" s="2" t="s">
        <v>3524</v>
      </c>
      <c r="B453" s="2" t="s">
        <v>3525</v>
      </c>
      <c r="C453" s="2" t="s">
        <v>54</v>
      </c>
      <c r="D453" s="2" t="s">
        <v>52</v>
      </c>
      <c r="E453" s="2" t="s">
        <v>4128</v>
      </c>
      <c r="F453" s="5"/>
      <c r="G453" s="4">
        <v>0</v>
      </c>
      <c r="H453" s="4"/>
      <c r="I453" s="2" t="s">
        <v>26</v>
      </c>
      <c r="J453" s="2">
        <v>140</v>
      </c>
      <c r="K453" s="2">
        <v>1.5</v>
      </c>
      <c r="L453" s="2">
        <v>0</v>
      </c>
      <c r="M453" s="2">
        <v>210</v>
      </c>
    </row>
    <row r="454" spans="1:13" x14ac:dyDescent="0.2">
      <c r="A454" s="2" t="s">
        <v>3526</v>
      </c>
      <c r="B454" s="2" t="s">
        <v>3527</v>
      </c>
      <c r="C454" s="2" t="s">
        <v>19</v>
      </c>
      <c r="D454" s="2" t="s">
        <v>52</v>
      </c>
      <c r="E454" s="2" t="s">
        <v>4128</v>
      </c>
      <c r="F454" s="5"/>
      <c r="G454" s="4">
        <v>10</v>
      </c>
      <c r="H454" s="4"/>
      <c r="I454" s="2" t="s">
        <v>26</v>
      </c>
      <c r="J454" s="2">
        <v>140</v>
      </c>
      <c r="K454" s="2">
        <v>1.5</v>
      </c>
      <c r="L454" s="2">
        <v>0</v>
      </c>
      <c r="M454" s="2">
        <v>210</v>
      </c>
    </row>
    <row r="455" spans="1:13" x14ac:dyDescent="0.2">
      <c r="A455" s="4" t="s">
        <v>291</v>
      </c>
      <c r="B455" s="4" t="s">
        <v>292</v>
      </c>
      <c r="C455" s="4" t="s">
        <v>4124</v>
      </c>
      <c r="D455" s="4" t="s">
        <v>52</v>
      </c>
      <c r="E455" s="4" t="s">
        <v>88</v>
      </c>
      <c r="F455" s="5"/>
      <c r="G455" s="4">
        <v>0</v>
      </c>
      <c r="H455" s="4"/>
      <c r="I455" s="4" t="s">
        <v>26</v>
      </c>
      <c r="J455" s="4">
        <v>140</v>
      </c>
      <c r="K455" s="4">
        <v>1.5</v>
      </c>
      <c r="L455" s="4">
        <v>345</v>
      </c>
      <c r="M455" s="4">
        <v>0</v>
      </c>
    </row>
    <row r="456" spans="1:13" x14ac:dyDescent="0.2">
      <c r="A456" s="2" t="s">
        <v>287</v>
      </c>
      <c r="B456" s="2" t="s">
        <v>288</v>
      </c>
      <c r="C456" s="2" t="s">
        <v>94</v>
      </c>
      <c r="D456" s="2" t="s">
        <v>52</v>
      </c>
      <c r="E456" s="2" t="s">
        <v>4128</v>
      </c>
      <c r="F456" s="5"/>
      <c r="G456" s="4">
        <v>0</v>
      </c>
      <c r="H456" s="4"/>
      <c r="I456" s="2" t="s">
        <v>26</v>
      </c>
      <c r="J456" s="2">
        <v>140</v>
      </c>
      <c r="K456" s="2">
        <v>1.5</v>
      </c>
      <c r="L456" s="2">
        <v>210</v>
      </c>
      <c r="M456" s="2">
        <v>0</v>
      </c>
    </row>
    <row r="457" spans="1:13" x14ac:dyDescent="0.2">
      <c r="A457" s="2" t="s">
        <v>953</v>
      </c>
      <c r="B457" s="2" t="s">
        <v>954</v>
      </c>
      <c r="C457" s="2" t="s">
        <v>7</v>
      </c>
      <c r="D457" s="2" t="s">
        <v>52</v>
      </c>
      <c r="E457" s="2" t="s">
        <v>4128</v>
      </c>
      <c r="F457" s="5"/>
      <c r="G457" s="4">
        <v>0</v>
      </c>
      <c r="H457" s="4"/>
      <c r="I457" s="2" t="s">
        <v>26</v>
      </c>
      <c r="J457" s="2">
        <v>140</v>
      </c>
      <c r="K457" s="2">
        <v>1.5</v>
      </c>
      <c r="L457" s="2">
        <v>0</v>
      </c>
      <c r="M457" s="2">
        <v>210</v>
      </c>
    </row>
    <row r="458" spans="1:13" x14ac:dyDescent="0.2">
      <c r="A458" s="4" t="s">
        <v>3528</v>
      </c>
      <c r="B458" s="4" t="s">
        <v>3529</v>
      </c>
      <c r="C458" s="4" t="s">
        <v>4124</v>
      </c>
      <c r="D458" s="4" t="s">
        <v>63</v>
      </c>
      <c r="E458" s="4" t="s">
        <v>88</v>
      </c>
      <c r="F458" s="5"/>
      <c r="G458" s="4">
        <v>0</v>
      </c>
      <c r="H458" s="4"/>
      <c r="I458" s="4" t="s">
        <v>26</v>
      </c>
      <c r="J458" s="4">
        <v>140</v>
      </c>
      <c r="K458" s="4">
        <v>1.5</v>
      </c>
      <c r="L458" s="4">
        <v>0</v>
      </c>
      <c r="M458" s="4">
        <v>210</v>
      </c>
    </row>
    <row r="459" spans="1:13" x14ac:dyDescent="0.2">
      <c r="A459" s="2" t="s">
        <v>4018</v>
      </c>
      <c r="B459" s="2" t="s">
        <v>4019</v>
      </c>
      <c r="C459" s="2" t="s">
        <v>94</v>
      </c>
      <c r="D459" s="2" t="s">
        <v>52</v>
      </c>
      <c r="E459" s="2" t="s">
        <v>4128</v>
      </c>
      <c r="F459" s="5"/>
      <c r="G459" s="4">
        <v>0</v>
      </c>
      <c r="H459" s="4"/>
      <c r="I459" s="2" t="s">
        <v>26</v>
      </c>
      <c r="J459" s="2">
        <v>140</v>
      </c>
      <c r="K459" s="2">
        <v>1.5</v>
      </c>
      <c r="L459" s="2">
        <v>0</v>
      </c>
      <c r="M459" s="2">
        <v>210</v>
      </c>
    </row>
    <row r="460" spans="1:13" x14ac:dyDescent="0.2">
      <c r="A460" s="2" t="s">
        <v>317</v>
      </c>
      <c r="B460" s="2" t="s">
        <v>318</v>
      </c>
      <c r="C460" s="2" t="s">
        <v>7</v>
      </c>
      <c r="D460" s="2" t="s">
        <v>52</v>
      </c>
      <c r="E460" s="2" t="s">
        <v>4128</v>
      </c>
      <c r="F460" s="5"/>
      <c r="G460" s="4">
        <v>0</v>
      </c>
      <c r="H460" s="4"/>
      <c r="I460" s="2" t="s">
        <v>26</v>
      </c>
      <c r="J460" s="2">
        <v>140</v>
      </c>
      <c r="K460" s="2">
        <v>1.5</v>
      </c>
      <c r="L460" s="2">
        <v>210</v>
      </c>
      <c r="M460" s="2">
        <v>0</v>
      </c>
    </row>
    <row r="461" spans="1:13" x14ac:dyDescent="0.2">
      <c r="A461" s="2" t="s">
        <v>963</v>
      </c>
      <c r="B461" s="2" t="s">
        <v>964</v>
      </c>
      <c r="C461" s="2" t="s">
        <v>7</v>
      </c>
      <c r="D461" s="2" t="s">
        <v>52</v>
      </c>
      <c r="E461" s="2" t="s">
        <v>4128</v>
      </c>
      <c r="F461" s="5"/>
      <c r="G461" s="4">
        <v>0</v>
      </c>
      <c r="H461" s="4"/>
      <c r="I461" s="2" t="s">
        <v>26</v>
      </c>
      <c r="J461" s="2">
        <v>140</v>
      </c>
      <c r="K461" s="2">
        <v>1.5</v>
      </c>
      <c r="L461" s="2">
        <v>0</v>
      </c>
      <c r="M461" s="2">
        <v>210</v>
      </c>
    </row>
    <row r="462" spans="1:13" x14ac:dyDescent="0.2">
      <c r="A462" s="2" t="s">
        <v>3530</v>
      </c>
      <c r="B462" s="2" t="s">
        <v>3531</v>
      </c>
      <c r="C462" s="2" t="s">
        <v>7</v>
      </c>
      <c r="D462" s="2" t="s">
        <v>52</v>
      </c>
      <c r="E462" s="2" t="s">
        <v>4128</v>
      </c>
      <c r="F462" s="5"/>
      <c r="G462" s="4">
        <v>0</v>
      </c>
      <c r="H462" s="4"/>
      <c r="I462" s="2" t="s">
        <v>26</v>
      </c>
      <c r="J462" s="2">
        <v>140</v>
      </c>
      <c r="K462" s="2">
        <v>1.5</v>
      </c>
      <c r="L462" s="2">
        <v>0</v>
      </c>
      <c r="M462" s="2">
        <v>210</v>
      </c>
    </row>
    <row r="463" spans="1:13" x14ac:dyDescent="0.2">
      <c r="A463" s="2" t="s">
        <v>509</v>
      </c>
      <c r="B463" s="2" t="s">
        <v>510</v>
      </c>
      <c r="C463" s="2" t="s">
        <v>7</v>
      </c>
      <c r="D463" s="2" t="s">
        <v>52</v>
      </c>
      <c r="E463" s="2" t="s">
        <v>4128</v>
      </c>
      <c r="F463" s="5">
        <v>45881</v>
      </c>
      <c r="G463" s="4">
        <v>9900</v>
      </c>
      <c r="H463" s="4"/>
      <c r="I463" s="2" t="s">
        <v>26</v>
      </c>
      <c r="J463" s="2">
        <v>140</v>
      </c>
      <c r="K463" s="2">
        <v>1.5</v>
      </c>
      <c r="L463" s="2">
        <v>600</v>
      </c>
      <c r="M463" s="2">
        <v>0</v>
      </c>
    </row>
    <row r="464" spans="1:13" x14ac:dyDescent="0.2">
      <c r="A464" s="2" t="s">
        <v>493</v>
      </c>
      <c r="B464" s="2" t="s">
        <v>494</v>
      </c>
      <c r="C464" s="2" t="s">
        <v>7</v>
      </c>
      <c r="D464" s="2" t="s">
        <v>52</v>
      </c>
      <c r="E464" s="2" t="s">
        <v>4128</v>
      </c>
      <c r="F464" s="5"/>
      <c r="G464" s="4">
        <v>0</v>
      </c>
      <c r="H464" s="4"/>
      <c r="I464" s="2" t="s">
        <v>26</v>
      </c>
      <c r="J464" s="2">
        <v>140</v>
      </c>
      <c r="K464" s="2">
        <v>1.5</v>
      </c>
      <c r="L464" s="2">
        <v>345</v>
      </c>
      <c r="M464" s="2">
        <v>0</v>
      </c>
    </row>
    <row r="465" spans="1:13" x14ac:dyDescent="0.2">
      <c r="A465" s="2" t="s">
        <v>3532</v>
      </c>
      <c r="B465" s="2" t="s">
        <v>3533</v>
      </c>
      <c r="C465" s="2" t="s">
        <v>4125</v>
      </c>
      <c r="D465" s="2" t="s">
        <v>52</v>
      </c>
      <c r="E465" s="2" t="s">
        <v>4128</v>
      </c>
      <c r="F465" s="5"/>
      <c r="G465" s="4">
        <v>0</v>
      </c>
      <c r="H465" s="4"/>
      <c r="I465" s="2" t="s">
        <v>26</v>
      </c>
      <c r="J465" s="2">
        <v>140</v>
      </c>
      <c r="K465" s="2">
        <v>1.5</v>
      </c>
      <c r="L465" s="2">
        <v>0</v>
      </c>
      <c r="M465" s="2">
        <v>210</v>
      </c>
    </row>
    <row r="466" spans="1:13" x14ac:dyDescent="0.2">
      <c r="A466" s="4" t="s">
        <v>3534</v>
      </c>
      <c r="B466" s="4" t="s">
        <v>3535</v>
      </c>
      <c r="C466" s="4" t="s">
        <v>4124</v>
      </c>
      <c r="D466" s="4" t="s">
        <v>63</v>
      </c>
      <c r="E466" s="4" t="s">
        <v>88</v>
      </c>
      <c r="F466" s="5"/>
      <c r="G466" s="4">
        <v>0</v>
      </c>
      <c r="H466" s="4"/>
      <c r="I466" s="4" t="s">
        <v>26</v>
      </c>
      <c r="J466" s="4">
        <v>140</v>
      </c>
      <c r="K466" s="4">
        <v>1.5</v>
      </c>
      <c r="L466" s="4">
        <v>0</v>
      </c>
      <c r="M466" s="4">
        <v>210</v>
      </c>
    </row>
    <row r="467" spans="1:13" x14ac:dyDescent="0.2">
      <c r="A467" s="2" t="s">
        <v>1261</v>
      </c>
      <c r="B467" s="2" t="s">
        <v>1262</v>
      </c>
      <c r="C467" s="2" t="s">
        <v>7</v>
      </c>
      <c r="D467" s="2" t="s">
        <v>52</v>
      </c>
      <c r="E467" s="2" t="s">
        <v>4128</v>
      </c>
      <c r="F467" s="5"/>
      <c r="G467" s="4">
        <v>0</v>
      </c>
      <c r="H467" s="4"/>
      <c r="I467" s="2" t="s">
        <v>26</v>
      </c>
      <c r="J467" s="2">
        <v>140</v>
      </c>
      <c r="K467" s="2">
        <v>1.5</v>
      </c>
      <c r="L467" s="2">
        <v>345</v>
      </c>
      <c r="M467" s="2">
        <v>0</v>
      </c>
    </row>
    <row r="468" spans="1:13" x14ac:dyDescent="0.2">
      <c r="A468" s="2" t="s">
        <v>3536</v>
      </c>
      <c r="B468" s="2" t="s">
        <v>3537</v>
      </c>
      <c r="C468" s="2" t="s">
        <v>4125</v>
      </c>
      <c r="D468" s="2" t="s">
        <v>52</v>
      </c>
      <c r="E468" s="2" t="s">
        <v>4128</v>
      </c>
      <c r="F468" s="5"/>
      <c r="G468" s="4">
        <v>0</v>
      </c>
      <c r="H468" s="4"/>
      <c r="I468" s="2" t="s">
        <v>26</v>
      </c>
      <c r="J468" s="2">
        <v>140</v>
      </c>
      <c r="K468" s="2">
        <v>1.5</v>
      </c>
      <c r="L468" s="2">
        <v>0</v>
      </c>
      <c r="M468" s="2">
        <v>210</v>
      </c>
    </row>
    <row r="469" spans="1:13" x14ac:dyDescent="0.2">
      <c r="A469" s="2" t="s">
        <v>3538</v>
      </c>
      <c r="B469" s="2" t="s">
        <v>3539</v>
      </c>
      <c r="C469" s="2" t="s">
        <v>4125</v>
      </c>
      <c r="D469" s="2" t="s">
        <v>52</v>
      </c>
      <c r="E469" s="2" t="s">
        <v>4128</v>
      </c>
      <c r="F469" s="5"/>
      <c r="G469" s="4">
        <v>0</v>
      </c>
      <c r="H469" s="4"/>
      <c r="I469" s="2" t="s">
        <v>26</v>
      </c>
      <c r="J469" s="2">
        <v>140</v>
      </c>
      <c r="K469" s="2">
        <v>1.5</v>
      </c>
      <c r="L469" s="2">
        <v>0</v>
      </c>
      <c r="M469" s="2">
        <v>210</v>
      </c>
    </row>
    <row r="470" spans="1:13" x14ac:dyDescent="0.2">
      <c r="A470" s="2" t="s">
        <v>3540</v>
      </c>
      <c r="B470" s="2" t="s">
        <v>3541</v>
      </c>
      <c r="C470" s="2" t="s">
        <v>592</v>
      </c>
      <c r="D470" s="2" t="s">
        <v>52</v>
      </c>
      <c r="E470" s="2" t="s">
        <v>4128</v>
      </c>
      <c r="F470" s="5"/>
      <c r="G470" s="4">
        <v>0</v>
      </c>
      <c r="H470" s="4"/>
      <c r="I470" s="2" t="s">
        <v>23</v>
      </c>
      <c r="J470" s="2">
        <v>230</v>
      </c>
      <c r="K470" s="2">
        <v>1.5</v>
      </c>
      <c r="L470" s="2">
        <v>0</v>
      </c>
      <c r="M470" s="2">
        <v>345</v>
      </c>
    </row>
    <row r="471" spans="1:13" x14ac:dyDescent="0.2">
      <c r="A471" s="2" t="s">
        <v>119</v>
      </c>
      <c r="B471" s="2" t="s">
        <v>120</v>
      </c>
      <c r="C471" s="2" t="s">
        <v>91</v>
      </c>
      <c r="D471" s="2" t="s">
        <v>52</v>
      </c>
      <c r="E471" s="2" t="s">
        <v>4128</v>
      </c>
      <c r="F471" s="5"/>
      <c r="G471" s="4">
        <v>0</v>
      </c>
      <c r="H471" s="4"/>
      <c r="I471" s="2" t="s">
        <v>23</v>
      </c>
      <c r="J471" s="2">
        <v>230</v>
      </c>
      <c r="K471" s="2">
        <v>1.5</v>
      </c>
      <c r="L471" s="2">
        <v>345</v>
      </c>
      <c r="M471" s="2">
        <v>0</v>
      </c>
    </row>
    <row r="472" spans="1:13" x14ac:dyDescent="0.2">
      <c r="A472" s="2" t="s">
        <v>543</v>
      </c>
      <c r="B472" s="2" t="s">
        <v>544</v>
      </c>
      <c r="C472" s="2" t="s">
        <v>54</v>
      </c>
      <c r="D472" s="2" t="s">
        <v>52</v>
      </c>
      <c r="E472" s="2" t="s">
        <v>4128</v>
      </c>
      <c r="F472" s="5"/>
      <c r="G472" s="4">
        <v>0</v>
      </c>
      <c r="H472" s="4"/>
      <c r="I472" s="2" t="s">
        <v>23</v>
      </c>
      <c r="J472" s="2">
        <v>230</v>
      </c>
      <c r="K472" s="2">
        <v>1.5</v>
      </c>
      <c r="L472" s="2">
        <v>345</v>
      </c>
      <c r="M472" s="2">
        <v>0</v>
      </c>
    </row>
    <row r="473" spans="1:13" x14ac:dyDescent="0.2">
      <c r="A473" s="2" t="s">
        <v>995</v>
      </c>
      <c r="B473" s="2" t="s">
        <v>996</v>
      </c>
      <c r="C473" s="2" t="s">
        <v>4125</v>
      </c>
      <c r="D473" s="2" t="s">
        <v>52</v>
      </c>
      <c r="E473" s="2" t="s">
        <v>4128</v>
      </c>
      <c r="F473" s="5"/>
      <c r="G473" s="4">
        <v>0</v>
      </c>
      <c r="H473" s="4"/>
      <c r="I473" s="2" t="s">
        <v>23</v>
      </c>
      <c r="J473" s="2">
        <v>230</v>
      </c>
      <c r="K473" s="2">
        <v>1.5</v>
      </c>
      <c r="L473" s="2">
        <v>345</v>
      </c>
      <c r="M473" s="2">
        <v>0</v>
      </c>
    </row>
    <row r="474" spans="1:13" x14ac:dyDescent="0.2">
      <c r="A474" s="2" t="s">
        <v>1161</v>
      </c>
      <c r="B474" s="2" t="s">
        <v>1162</v>
      </c>
      <c r="C474" s="2" t="s">
        <v>19</v>
      </c>
      <c r="D474" s="2" t="s">
        <v>52</v>
      </c>
      <c r="E474" s="2" t="s">
        <v>4128</v>
      </c>
      <c r="F474" s="5"/>
      <c r="G474" s="4">
        <v>0</v>
      </c>
      <c r="H474" s="4"/>
      <c r="I474" s="2" t="s">
        <v>23</v>
      </c>
      <c r="J474" s="2">
        <v>230</v>
      </c>
      <c r="K474" s="2">
        <v>1.5</v>
      </c>
      <c r="L474" s="2">
        <v>345</v>
      </c>
      <c r="M474" s="2">
        <v>0</v>
      </c>
    </row>
    <row r="475" spans="1:13" x14ac:dyDescent="0.2">
      <c r="A475" s="2" t="s">
        <v>3542</v>
      </c>
      <c r="B475" s="2" t="s">
        <v>3543</v>
      </c>
      <c r="C475" s="2" t="s">
        <v>592</v>
      </c>
      <c r="D475" s="2" t="s">
        <v>52</v>
      </c>
      <c r="E475" s="2" t="s">
        <v>4128</v>
      </c>
      <c r="F475" s="5"/>
      <c r="G475" s="4">
        <v>0</v>
      </c>
      <c r="H475" s="4"/>
      <c r="I475" s="2" t="s">
        <v>23</v>
      </c>
      <c r="J475" s="2">
        <v>230</v>
      </c>
      <c r="K475" s="2">
        <v>1.5</v>
      </c>
      <c r="L475" s="2">
        <v>0</v>
      </c>
      <c r="M475" s="2">
        <v>345</v>
      </c>
    </row>
    <row r="476" spans="1:13" x14ac:dyDescent="0.2">
      <c r="A476" s="2" t="s">
        <v>605</v>
      </c>
      <c r="B476" s="2" t="s">
        <v>606</v>
      </c>
      <c r="C476" s="2" t="s">
        <v>4125</v>
      </c>
      <c r="D476" s="2" t="s">
        <v>52</v>
      </c>
      <c r="E476" s="2" t="s">
        <v>4128</v>
      </c>
      <c r="F476" s="5"/>
      <c r="G476" s="4">
        <v>0</v>
      </c>
      <c r="H476" s="4"/>
      <c r="I476" s="2" t="s">
        <v>23</v>
      </c>
      <c r="J476" s="2">
        <v>230</v>
      </c>
      <c r="K476" s="2">
        <v>1.5</v>
      </c>
      <c r="L476" s="2">
        <v>0</v>
      </c>
      <c r="M476" s="2">
        <v>345</v>
      </c>
    </row>
    <row r="477" spans="1:13" x14ac:dyDescent="0.2">
      <c r="A477" s="2" t="s">
        <v>625</v>
      </c>
      <c r="B477" s="2" t="s">
        <v>626</v>
      </c>
      <c r="C477" s="2" t="s">
        <v>54</v>
      </c>
      <c r="D477" s="2" t="s">
        <v>52</v>
      </c>
      <c r="E477" s="2" t="s">
        <v>4128</v>
      </c>
      <c r="F477" s="5"/>
      <c r="G477" s="4">
        <v>0</v>
      </c>
      <c r="H477" s="4"/>
      <c r="I477" s="2" t="s">
        <v>23</v>
      </c>
      <c r="J477" s="2">
        <v>230</v>
      </c>
      <c r="K477" s="2">
        <v>1.5</v>
      </c>
      <c r="L477" s="2">
        <v>0</v>
      </c>
      <c r="M477" s="2">
        <v>345</v>
      </c>
    </row>
    <row r="478" spans="1:13" x14ac:dyDescent="0.2">
      <c r="A478" s="2" t="s">
        <v>1131</v>
      </c>
      <c r="B478" s="2" t="s">
        <v>1132</v>
      </c>
      <c r="C478" s="2" t="s">
        <v>1366</v>
      </c>
      <c r="D478" s="2" t="s">
        <v>52</v>
      </c>
      <c r="E478" s="2" t="s">
        <v>4128</v>
      </c>
      <c r="F478" s="5"/>
      <c r="G478" s="4">
        <v>0</v>
      </c>
      <c r="H478" s="4"/>
      <c r="I478" s="2" t="s">
        <v>23</v>
      </c>
      <c r="J478" s="2">
        <v>230</v>
      </c>
      <c r="K478" s="2">
        <v>1.5</v>
      </c>
      <c r="L478" s="2">
        <v>210</v>
      </c>
      <c r="M478" s="2">
        <v>135</v>
      </c>
    </row>
    <row r="479" spans="1:13" x14ac:dyDescent="0.2">
      <c r="A479" s="2" t="s">
        <v>383</v>
      </c>
      <c r="B479" s="2" t="s">
        <v>384</v>
      </c>
      <c r="C479" s="2" t="s">
        <v>1366</v>
      </c>
      <c r="D479" s="2" t="s">
        <v>52</v>
      </c>
      <c r="E479" s="2" t="s">
        <v>4128</v>
      </c>
      <c r="F479" s="5"/>
      <c r="G479" s="4">
        <v>0</v>
      </c>
      <c r="H479" s="4"/>
      <c r="I479" s="2" t="s">
        <v>23</v>
      </c>
      <c r="J479" s="2">
        <v>230</v>
      </c>
      <c r="K479" s="2">
        <v>1.5</v>
      </c>
      <c r="L479" s="2">
        <v>600</v>
      </c>
      <c r="M479" s="2">
        <v>0</v>
      </c>
    </row>
    <row r="480" spans="1:13" x14ac:dyDescent="0.2">
      <c r="A480" s="2" t="s">
        <v>3544</v>
      </c>
      <c r="B480" s="2" t="s">
        <v>3545</v>
      </c>
      <c r="C480" s="2" t="s">
        <v>592</v>
      </c>
      <c r="D480" s="2" t="s">
        <v>52</v>
      </c>
      <c r="E480" s="2" t="s">
        <v>4128</v>
      </c>
      <c r="F480" s="5"/>
      <c r="G480" s="4">
        <v>0</v>
      </c>
      <c r="H480" s="4"/>
      <c r="I480" s="2" t="s">
        <v>23</v>
      </c>
      <c r="J480" s="2">
        <v>230</v>
      </c>
      <c r="K480" s="2">
        <v>1.5</v>
      </c>
      <c r="L480" s="2">
        <v>0</v>
      </c>
      <c r="M480" s="2">
        <v>345</v>
      </c>
    </row>
    <row r="481" spans="1:13" x14ac:dyDescent="0.2">
      <c r="A481" s="2" t="s">
        <v>3546</v>
      </c>
      <c r="B481" s="2" t="s">
        <v>3547</v>
      </c>
      <c r="C481" s="2" t="s">
        <v>1366</v>
      </c>
      <c r="D481" s="2" t="s">
        <v>52</v>
      </c>
      <c r="E481" s="2" t="s">
        <v>4128</v>
      </c>
      <c r="F481" s="5"/>
      <c r="G481" s="4">
        <v>0</v>
      </c>
      <c r="H481" s="4"/>
      <c r="I481" s="2" t="s">
        <v>23</v>
      </c>
      <c r="J481" s="2">
        <v>230</v>
      </c>
      <c r="K481" s="2">
        <v>1.5</v>
      </c>
      <c r="L481" s="2">
        <v>0</v>
      </c>
      <c r="M481" s="2">
        <v>345</v>
      </c>
    </row>
    <row r="482" spans="1:13" x14ac:dyDescent="0.2">
      <c r="A482" s="2" t="s">
        <v>687</v>
      </c>
      <c r="B482" s="2" t="s">
        <v>688</v>
      </c>
      <c r="C482" s="2" t="s">
        <v>91</v>
      </c>
      <c r="D482" s="2" t="s">
        <v>52</v>
      </c>
      <c r="E482" s="2" t="s">
        <v>4128</v>
      </c>
      <c r="F482" s="5"/>
      <c r="G482" s="4">
        <v>0</v>
      </c>
      <c r="H482" s="4"/>
      <c r="I482" s="2" t="s">
        <v>23</v>
      </c>
      <c r="J482" s="2">
        <v>230</v>
      </c>
      <c r="K482" s="2">
        <v>1.5</v>
      </c>
      <c r="L482" s="2">
        <v>0</v>
      </c>
      <c r="M482" s="2">
        <v>345</v>
      </c>
    </row>
    <row r="483" spans="1:13" x14ac:dyDescent="0.2">
      <c r="A483" s="2" t="s">
        <v>3548</v>
      </c>
      <c r="B483" s="2" t="s">
        <v>3549</v>
      </c>
      <c r="C483" s="2" t="s">
        <v>7</v>
      </c>
      <c r="D483" s="2" t="s">
        <v>52</v>
      </c>
      <c r="E483" s="2" t="s">
        <v>4128</v>
      </c>
      <c r="F483" s="5"/>
      <c r="G483" s="4">
        <v>0</v>
      </c>
      <c r="H483" s="4"/>
      <c r="I483" s="2" t="s">
        <v>23</v>
      </c>
      <c r="J483" s="2">
        <v>230</v>
      </c>
      <c r="K483" s="2">
        <v>1.5</v>
      </c>
      <c r="L483" s="2">
        <v>0</v>
      </c>
      <c r="M483" s="2">
        <v>345</v>
      </c>
    </row>
    <row r="484" spans="1:13" x14ac:dyDescent="0.2">
      <c r="A484" s="2" t="s">
        <v>707</v>
      </c>
      <c r="B484" s="2" t="s">
        <v>708</v>
      </c>
      <c r="C484" s="2" t="s">
        <v>19</v>
      </c>
      <c r="D484" s="2" t="s">
        <v>52</v>
      </c>
      <c r="E484" s="2" t="s">
        <v>4128</v>
      </c>
      <c r="F484" s="5"/>
      <c r="G484" s="4">
        <v>0</v>
      </c>
      <c r="H484" s="4"/>
      <c r="I484" s="2" t="s">
        <v>23</v>
      </c>
      <c r="J484" s="2">
        <v>230</v>
      </c>
      <c r="K484" s="2">
        <v>1.5</v>
      </c>
      <c r="L484" s="2">
        <v>0</v>
      </c>
      <c r="M484" s="2">
        <v>345</v>
      </c>
    </row>
    <row r="485" spans="1:13" x14ac:dyDescent="0.2">
      <c r="A485" s="2" t="s">
        <v>699</v>
      </c>
      <c r="B485" s="2" t="s">
        <v>700</v>
      </c>
      <c r="C485" s="2" t="s">
        <v>592</v>
      </c>
      <c r="D485" s="2" t="s">
        <v>52</v>
      </c>
      <c r="E485" s="2" t="s">
        <v>4128</v>
      </c>
      <c r="F485" s="5"/>
      <c r="G485" s="4">
        <v>0</v>
      </c>
      <c r="H485" s="4"/>
      <c r="I485" s="2" t="s">
        <v>23</v>
      </c>
      <c r="J485" s="2">
        <v>230</v>
      </c>
      <c r="K485" s="2">
        <v>1.5</v>
      </c>
      <c r="L485" s="2">
        <v>0</v>
      </c>
      <c r="M485" s="2">
        <v>345</v>
      </c>
    </row>
    <row r="486" spans="1:13" x14ac:dyDescent="0.2">
      <c r="A486" s="2" t="s">
        <v>3550</v>
      </c>
      <c r="B486" s="2" t="s">
        <v>3551</v>
      </c>
      <c r="C486" s="2" t="s">
        <v>66</v>
      </c>
      <c r="D486" s="2" t="s">
        <v>52</v>
      </c>
      <c r="E486" s="2" t="s">
        <v>4128</v>
      </c>
      <c r="F486" s="5"/>
      <c r="G486" s="4">
        <v>0</v>
      </c>
      <c r="H486" s="4"/>
      <c r="I486" s="2" t="s">
        <v>23</v>
      </c>
      <c r="J486" s="2">
        <v>230</v>
      </c>
      <c r="K486" s="2">
        <v>1.5</v>
      </c>
      <c r="L486" s="2">
        <v>0</v>
      </c>
      <c r="M486" s="2">
        <v>345</v>
      </c>
    </row>
    <row r="487" spans="1:13" x14ac:dyDescent="0.2">
      <c r="A487" s="2" t="s">
        <v>3552</v>
      </c>
      <c r="B487" s="2" t="s">
        <v>3553</v>
      </c>
      <c r="C487" s="2" t="s">
        <v>66</v>
      </c>
      <c r="D487" s="2" t="s">
        <v>52</v>
      </c>
      <c r="E487" s="2" t="s">
        <v>4128</v>
      </c>
      <c r="F487" s="5"/>
      <c r="G487" s="4">
        <v>0</v>
      </c>
      <c r="H487" s="4"/>
      <c r="I487" s="2" t="s">
        <v>23</v>
      </c>
      <c r="J487" s="2">
        <v>230</v>
      </c>
      <c r="K487" s="2">
        <v>1.5</v>
      </c>
      <c r="L487" s="2">
        <v>0</v>
      </c>
      <c r="M487" s="2">
        <v>345</v>
      </c>
    </row>
    <row r="488" spans="1:13" x14ac:dyDescent="0.2">
      <c r="A488" s="2" t="s">
        <v>1141</v>
      </c>
      <c r="B488" s="2" t="s">
        <v>1142</v>
      </c>
      <c r="C488" s="2" t="s">
        <v>66</v>
      </c>
      <c r="D488" s="2" t="s">
        <v>52</v>
      </c>
      <c r="E488" s="2" t="s">
        <v>4128</v>
      </c>
      <c r="F488" s="5"/>
      <c r="G488" s="4">
        <v>0</v>
      </c>
      <c r="H488" s="4"/>
      <c r="I488" s="2" t="s">
        <v>23</v>
      </c>
      <c r="J488" s="2">
        <v>230</v>
      </c>
      <c r="K488" s="2">
        <v>1.5</v>
      </c>
      <c r="L488" s="2">
        <v>210</v>
      </c>
      <c r="M488" s="2">
        <v>135</v>
      </c>
    </row>
    <row r="489" spans="1:13" x14ac:dyDescent="0.2">
      <c r="A489" s="2" t="s">
        <v>691</v>
      </c>
      <c r="B489" s="2" t="s">
        <v>692</v>
      </c>
      <c r="C489" s="2" t="s">
        <v>592</v>
      </c>
      <c r="D489" s="2" t="s">
        <v>52</v>
      </c>
      <c r="E489" s="2" t="s">
        <v>4128</v>
      </c>
      <c r="F489" s="5"/>
      <c r="G489" s="4">
        <v>0</v>
      </c>
      <c r="H489" s="4"/>
      <c r="I489" s="2" t="s">
        <v>23</v>
      </c>
      <c r="J489" s="2">
        <v>230</v>
      </c>
      <c r="K489" s="2">
        <v>1.5</v>
      </c>
      <c r="L489" s="2">
        <v>0</v>
      </c>
      <c r="M489" s="2">
        <v>345</v>
      </c>
    </row>
    <row r="490" spans="1:13" x14ac:dyDescent="0.2">
      <c r="A490" s="2" t="s">
        <v>1169</v>
      </c>
      <c r="B490" s="2" t="s">
        <v>1170</v>
      </c>
      <c r="C490" s="2" t="s">
        <v>7</v>
      </c>
      <c r="D490" s="2" t="s">
        <v>52</v>
      </c>
      <c r="E490" s="2" t="s">
        <v>4128</v>
      </c>
      <c r="F490" s="5"/>
      <c r="G490" s="4">
        <v>0</v>
      </c>
      <c r="H490" s="4"/>
      <c r="I490" s="2" t="s">
        <v>23</v>
      </c>
      <c r="J490" s="2">
        <v>230</v>
      </c>
      <c r="K490" s="2">
        <v>1.5</v>
      </c>
      <c r="L490" s="2">
        <v>345</v>
      </c>
      <c r="M490" s="2">
        <v>0</v>
      </c>
    </row>
    <row r="491" spans="1:13" x14ac:dyDescent="0.2">
      <c r="A491" s="2" t="s">
        <v>4020</v>
      </c>
      <c r="B491" s="2" t="s">
        <v>4021</v>
      </c>
      <c r="C491" s="2" t="s">
        <v>54</v>
      </c>
      <c r="D491" s="2" t="s">
        <v>52</v>
      </c>
      <c r="E491" s="2" t="s">
        <v>4128</v>
      </c>
      <c r="F491" s="5"/>
      <c r="G491" s="4">
        <v>0</v>
      </c>
      <c r="H491" s="4"/>
      <c r="I491" s="2" t="s">
        <v>23</v>
      </c>
      <c r="J491" s="2">
        <v>230</v>
      </c>
      <c r="K491" s="2">
        <v>1.5</v>
      </c>
      <c r="L491" s="2">
        <v>210</v>
      </c>
      <c r="M491" s="2">
        <v>135</v>
      </c>
    </row>
    <row r="492" spans="1:13" x14ac:dyDescent="0.2">
      <c r="A492" s="2" t="s">
        <v>3554</v>
      </c>
      <c r="B492" s="2" t="s">
        <v>3555</v>
      </c>
      <c r="C492" s="2" t="s">
        <v>4125</v>
      </c>
      <c r="D492" s="2" t="s">
        <v>52</v>
      </c>
      <c r="E492" s="2" t="s">
        <v>4128</v>
      </c>
      <c r="F492" s="5"/>
      <c r="G492" s="4">
        <v>0</v>
      </c>
      <c r="H492" s="4"/>
      <c r="I492" s="2" t="s">
        <v>23</v>
      </c>
      <c r="J492" s="2">
        <v>230</v>
      </c>
      <c r="K492" s="2">
        <v>1.5</v>
      </c>
      <c r="L492" s="2">
        <v>0</v>
      </c>
      <c r="M492" s="2">
        <v>345</v>
      </c>
    </row>
    <row r="493" spans="1:13" x14ac:dyDescent="0.2">
      <c r="A493" s="2" t="s">
        <v>723</v>
      </c>
      <c r="B493" s="2" t="s">
        <v>724</v>
      </c>
      <c r="C493" s="2" t="s">
        <v>4125</v>
      </c>
      <c r="D493" s="2" t="s">
        <v>52</v>
      </c>
      <c r="E493" s="2" t="s">
        <v>4128</v>
      </c>
      <c r="F493" s="5"/>
      <c r="G493" s="4">
        <v>0</v>
      </c>
      <c r="H493" s="4"/>
      <c r="I493" s="2" t="s">
        <v>23</v>
      </c>
      <c r="J493" s="2">
        <v>230</v>
      </c>
      <c r="K493" s="2">
        <v>1.5</v>
      </c>
      <c r="L493" s="2">
        <v>0</v>
      </c>
      <c r="M493" s="2">
        <v>345</v>
      </c>
    </row>
    <row r="494" spans="1:13" x14ac:dyDescent="0.2">
      <c r="A494" s="2" t="s">
        <v>457</v>
      </c>
      <c r="B494" s="2" t="s">
        <v>458</v>
      </c>
      <c r="C494" s="2" t="s">
        <v>94</v>
      </c>
      <c r="D494" s="2" t="s">
        <v>52</v>
      </c>
      <c r="E494" s="2" t="s">
        <v>4128</v>
      </c>
      <c r="F494" s="5"/>
      <c r="G494" s="4">
        <v>0</v>
      </c>
      <c r="H494" s="4"/>
      <c r="I494" s="2" t="s">
        <v>23</v>
      </c>
      <c r="J494" s="2">
        <v>230</v>
      </c>
      <c r="K494" s="2">
        <v>1.5</v>
      </c>
      <c r="L494" s="2">
        <v>345</v>
      </c>
      <c r="M494" s="2">
        <v>0</v>
      </c>
    </row>
    <row r="495" spans="1:13" x14ac:dyDescent="0.2">
      <c r="A495" s="2" t="s">
        <v>3556</v>
      </c>
      <c r="B495" s="2" t="s">
        <v>3557</v>
      </c>
      <c r="C495" s="2" t="s">
        <v>94</v>
      </c>
      <c r="D495" s="2" t="s">
        <v>52</v>
      </c>
      <c r="E495" s="2" t="s">
        <v>4128</v>
      </c>
      <c r="F495" s="5"/>
      <c r="G495" s="4">
        <v>0</v>
      </c>
      <c r="H495" s="4"/>
      <c r="I495" s="2" t="s">
        <v>23</v>
      </c>
      <c r="J495" s="2">
        <v>230</v>
      </c>
      <c r="K495" s="2">
        <v>1.5</v>
      </c>
      <c r="L495" s="2">
        <v>0</v>
      </c>
      <c r="M495" s="2">
        <v>345</v>
      </c>
    </row>
    <row r="496" spans="1:13" x14ac:dyDescent="0.2">
      <c r="A496" s="2" t="s">
        <v>3558</v>
      </c>
      <c r="B496" s="2" t="s">
        <v>3559</v>
      </c>
      <c r="C496" s="2" t="s">
        <v>592</v>
      </c>
      <c r="D496" s="2" t="s">
        <v>52</v>
      </c>
      <c r="E496" s="2" t="s">
        <v>4128</v>
      </c>
      <c r="F496" s="5"/>
      <c r="G496" s="4">
        <v>0</v>
      </c>
      <c r="H496" s="4"/>
      <c r="I496" s="2" t="s">
        <v>23</v>
      </c>
      <c r="J496" s="2">
        <v>230</v>
      </c>
      <c r="K496" s="2">
        <v>1.5</v>
      </c>
      <c r="L496" s="2">
        <v>0</v>
      </c>
      <c r="M496" s="2">
        <v>345</v>
      </c>
    </row>
    <row r="497" spans="1:13" x14ac:dyDescent="0.2">
      <c r="A497" s="2" t="s">
        <v>3560</v>
      </c>
      <c r="B497" s="2" t="s">
        <v>3561</v>
      </c>
      <c r="C497" s="2" t="s">
        <v>94</v>
      </c>
      <c r="D497" s="2" t="s">
        <v>52</v>
      </c>
      <c r="E497" s="2" t="s">
        <v>4128</v>
      </c>
      <c r="F497" s="5"/>
      <c r="G497" s="4">
        <v>0</v>
      </c>
      <c r="H497" s="4"/>
      <c r="I497" s="2" t="s">
        <v>23</v>
      </c>
      <c r="J497" s="2">
        <v>230</v>
      </c>
      <c r="K497" s="2">
        <v>1.5</v>
      </c>
      <c r="L497" s="2">
        <v>0</v>
      </c>
      <c r="M497" s="2">
        <v>345</v>
      </c>
    </row>
    <row r="498" spans="1:13" x14ac:dyDescent="0.2">
      <c r="A498" s="2" t="s">
        <v>3562</v>
      </c>
      <c r="B498" s="2" t="s">
        <v>3563</v>
      </c>
      <c r="C498" s="2" t="s">
        <v>4126</v>
      </c>
      <c r="D498" s="2" t="s">
        <v>52</v>
      </c>
      <c r="E498" s="2" t="s">
        <v>4128</v>
      </c>
      <c r="F498" s="5"/>
      <c r="G498" s="4">
        <v>0</v>
      </c>
      <c r="H498" s="4"/>
      <c r="I498" s="2" t="s">
        <v>23</v>
      </c>
      <c r="J498" s="2">
        <v>230</v>
      </c>
      <c r="K498" s="2">
        <v>1.5</v>
      </c>
      <c r="L498" s="2">
        <v>0</v>
      </c>
      <c r="M498" s="2">
        <v>345</v>
      </c>
    </row>
    <row r="499" spans="1:13" x14ac:dyDescent="0.2">
      <c r="A499" s="2" t="s">
        <v>773</v>
      </c>
      <c r="B499" s="2" t="s">
        <v>774</v>
      </c>
      <c r="C499" s="2" t="s">
        <v>94</v>
      </c>
      <c r="D499" s="2" t="s">
        <v>52</v>
      </c>
      <c r="E499" s="2" t="s">
        <v>4128</v>
      </c>
      <c r="F499" s="5"/>
      <c r="G499" s="4">
        <v>0</v>
      </c>
      <c r="H499" s="4"/>
      <c r="I499" s="2" t="s">
        <v>23</v>
      </c>
      <c r="J499" s="2">
        <v>230</v>
      </c>
      <c r="K499" s="2">
        <v>1.5</v>
      </c>
      <c r="L499" s="2">
        <v>0</v>
      </c>
      <c r="M499" s="2">
        <v>345</v>
      </c>
    </row>
    <row r="500" spans="1:13" x14ac:dyDescent="0.2">
      <c r="A500" s="2" t="s">
        <v>3564</v>
      </c>
      <c r="B500" s="2" t="s">
        <v>3565</v>
      </c>
      <c r="C500" s="2" t="s">
        <v>94</v>
      </c>
      <c r="D500" s="2" t="s">
        <v>52</v>
      </c>
      <c r="E500" s="2" t="s">
        <v>4128</v>
      </c>
      <c r="F500" s="5"/>
      <c r="G500" s="4">
        <v>0</v>
      </c>
      <c r="H500" s="4"/>
      <c r="I500" s="2" t="s">
        <v>23</v>
      </c>
      <c r="J500" s="2">
        <v>230</v>
      </c>
      <c r="K500" s="2">
        <v>1.5</v>
      </c>
      <c r="L500" s="2">
        <v>0</v>
      </c>
      <c r="M500" s="2">
        <v>345</v>
      </c>
    </row>
    <row r="501" spans="1:13" x14ac:dyDescent="0.2">
      <c r="A501" s="2" t="s">
        <v>3566</v>
      </c>
      <c r="B501" s="2" t="s">
        <v>3567</v>
      </c>
      <c r="C501" s="2" t="s">
        <v>66</v>
      </c>
      <c r="D501" s="2" t="s">
        <v>52</v>
      </c>
      <c r="E501" s="2" t="s">
        <v>4128</v>
      </c>
      <c r="F501" s="5"/>
      <c r="G501" s="4">
        <v>0</v>
      </c>
      <c r="H501" s="4"/>
      <c r="I501" s="2" t="s">
        <v>23</v>
      </c>
      <c r="J501" s="2">
        <v>230</v>
      </c>
      <c r="K501" s="2">
        <v>1.5</v>
      </c>
      <c r="L501" s="2">
        <v>0</v>
      </c>
      <c r="M501" s="2">
        <v>345</v>
      </c>
    </row>
    <row r="502" spans="1:13" x14ac:dyDescent="0.2">
      <c r="A502" s="2" t="s">
        <v>3568</v>
      </c>
      <c r="B502" s="2" t="s">
        <v>3569</v>
      </c>
      <c r="C502" s="2" t="s">
        <v>94</v>
      </c>
      <c r="D502" s="2" t="s">
        <v>52</v>
      </c>
      <c r="E502" s="2" t="s">
        <v>4128</v>
      </c>
      <c r="F502" s="5"/>
      <c r="G502" s="4">
        <v>0</v>
      </c>
      <c r="H502" s="4"/>
      <c r="I502" s="2" t="s">
        <v>23</v>
      </c>
      <c r="J502" s="2">
        <v>230</v>
      </c>
      <c r="K502" s="2">
        <v>1.5</v>
      </c>
      <c r="L502" s="2">
        <v>0</v>
      </c>
      <c r="M502" s="2">
        <v>345</v>
      </c>
    </row>
    <row r="503" spans="1:13" x14ac:dyDescent="0.2">
      <c r="A503" s="2" t="s">
        <v>3570</v>
      </c>
      <c r="B503" s="2" t="s">
        <v>3571</v>
      </c>
      <c r="C503" s="2" t="s">
        <v>54</v>
      </c>
      <c r="D503" s="2" t="s">
        <v>52</v>
      </c>
      <c r="E503" s="2" t="s">
        <v>4128</v>
      </c>
      <c r="F503" s="5"/>
      <c r="G503" s="4">
        <v>0</v>
      </c>
      <c r="H503" s="4"/>
      <c r="I503" s="2" t="s">
        <v>23</v>
      </c>
      <c r="J503" s="2">
        <v>230</v>
      </c>
      <c r="K503" s="2">
        <v>1.5</v>
      </c>
      <c r="L503" s="2">
        <v>0</v>
      </c>
      <c r="M503" s="2">
        <v>345</v>
      </c>
    </row>
    <row r="504" spans="1:13" x14ac:dyDescent="0.2">
      <c r="A504" s="2" t="s">
        <v>483</v>
      </c>
      <c r="B504" s="2" t="s">
        <v>484</v>
      </c>
      <c r="C504" s="2" t="s">
        <v>94</v>
      </c>
      <c r="D504" s="2" t="s">
        <v>52</v>
      </c>
      <c r="E504" s="2" t="s">
        <v>4128</v>
      </c>
      <c r="F504" s="5"/>
      <c r="G504" s="4">
        <v>0</v>
      </c>
      <c r="H504" s="4"/>
      <c r="I504" s="2" t="s">
        <v>23</v>
      </c>
      <c r="J504" s="2">
        <v>230</v>
      </c>
      <c r="K504" s="2">
        <v>1.5</v>
      </c>
      <c r="L504" s="2">
        <v>345</v>
      </c>
      <c r="M504" s="2">
        <v>0</v>
      </c>
    </row>
    <row r="505" spans="1:13" x14ac:dyDescent="0.2">
      <c r="A505" s="2" t="s">
        <v>809</v>
      </c>
      <c r="B505" s="2" t="s">
        <v>810</v>
      </c>
      <c r="C505" s="2" t="s">
        <v>1366</v>
      </c>
      <c r="D505" s="2" t="s">
        <v>52</v>
      </c>
      <c r="E505" s="2" t="s">
        <v>4128</v>
      </c>
      <c r="F505" s="5"/>
      <c r="G505" s="4">
        <v>0</v>
      </c>
      <c r="H505" s="4"/>
      <c r="I505" s="2" t="s">
        <v>23</v>
      </c>
      <c r="J505" s="2">
        <v>230</v>
      </c>
      <c r="K505" s="2">
        <v>1.5</v>
      </c>
      <c r="L505" s="2">
        <v>0</v>
      </c>
      <c r="M505" s="2">
        <v>345</v>
      </c>
    </row>
    <row r="506" spans="1:13" x14ac:dyDescent="0.2">
      <c r="A506" s="2" t="s">
        <v>227</v>
      </c>
      <c r="B506" s="2" t="s">
        <v>228</v>
      </c>
      <c r="C506" s="2" t="s">
        <v>94</v>
      </c>
      <c r="D506" s="2" t="s">
        <v>52</v>
      </c>
      <c r="E506" s="2" t="s">
        <v>4128</v>
      </c>
      <c r="F506" s="5"/>
      <c r="G506" s="4">
        <v>0</v>
      </c>
      <c r="H506" s="4"/>
      <c r="I506" s="2" t="s">
        <v>23</v>
      </c>
      <c r="J506" s="2">
        <v>230</v>
      </c>
      <c r="K506" s="2">
        <v>1.5</v>
      </c>
      <c r="L506" s="2">
        <v>210</v>
      </c>
      <c r="M506" s="2">
        <v>135</v>
      </c>
    </row>
    <row r="507" spans="1:13" x14ac:dyDescent="0.2">
      <c r="A507" s="2" t="s">
        <v>4022</v>
      </c>
      <c r="B507" s="2" t="s">
        <v>4023</v>
      </c>
      <c r="C507" s="2" t="s">
        <v>19</v>
      </c>
      <c r="D507" s="2" t="s">
        <v>52</v>
      </c>
      <c r="E507" s="2" t="s">
        <v>4128</v>
      </c>
      <c r="F507" s="5"/>
      <c r="G507" s="4">
        <v>0</v>
      </c>
      <c r="H507" s="4"/>
      <c r="I507" s="2" t="s">
        <v>23</v>
      </c>
      <c r="J507" s="2">
        <v>230</v>
      </c>
      <c r="K507" s="2">
        <v>1.5</v>
      </c>
      <c r="L507" s="2">
        <v>0</v>
      </c>
      <c r="M507" s="2">
        <v>345</v>
      </c>
    </row>
    <row r="508" spans="1:13" x14ac:dyDescent="0.2">
      <c r="A508" s="2" t="s">
        <v>1321</v>
      </c>
      <c r="B508" s="2" t="s">
        <v>1322</v>
      </c>
      <c r="C508" s="2" t="s">
        <v>7</v>
      </c>
      <c r="D508" s="2" t="s">
        <v>52</v>
      </c>
      <c r="E508" s="2" t="s">
        <v>4128</v>
      </c>
      <c r="F508" s="5"/>
      <c r="G508" s="4">
        <v>0</v>
      </c>
      <c r="H508" s="4"/>
      <c r="I508" s="2" t="s">
        <v>23</v>
      </c>
      <c r="J508" s="2">
        <v>230</v>
      </c>
      <c r="K508" s="2">
        <v>1.5</v>
      </c>
      <c r="L508" s="2">
        <v>600</v>
      </c>
      <c r="M508" s="2">
        <v>0</v>
      </c>
    </row>
    <row r="509" spans="1:13" x14ac:dyDescent="0.2">
      <c r="A509" s="2" t="s">
        <v>843</v>
      </c>
      <c r="B509" s="2" t="s">
        <v>844</v>
      </c>
      <c r="C509" s="2" t="s">
        <v>19</v>
      </c>
      <c r="D509" s="2" t="s">
        <v>52</v>
      </c>
      <c r="E509" s="2" t="s">
        <v>4128</v>
      </c>
      <c r="F509" s="5"/>
      <c r="G509" s="4">
        <v>0</v>
      </c>
      <c r="H509" s="4"/>
      <c r="I509" s="2" t="s">
        <v>23</v>
      </c>
      <c r="J509" s="2">
        <v>230</v>
      </c>
      <c r="K509" s="2">
        <v>1.5</v>
      </c>
      <c r="L509" s="2">
        <v>0</v>
      </c>
      <c r="M509" s="2">
        <v>345</v>
      </c>
    </row>
    <row r="510" spans="1:13" x14ac:dyDescent="0.2">
      <c r="A510" s="2" t="s">
        <v>3572</v>
      </c>
      <c r="B510" s="2" t="s">
        <v>3573</v>
      </c>
      <c r="C510" s="2" t="s">
        <v>19</v>
      </c>
      <c r="D510" s="2" t="s">
        <v>52</v>
      </c>
      <c r="E510" s="2" t="s">
        <v>4128</v>
      </c>
      <c r="F510" s="5"/>
      <c r="G510" s="4">
        <v>0</v>
      </c>
      <c r="H510" s="4"/>
      <c r="I510" s="2" t="s">
        <v>23</v>
      </c>
      <c r="J510" s="2">
        <v>230</v>
      </c>
      <c r="K510" s="2">
        <v>1.5</v>
      </c>
      <c r="L510" s="2">
        <v>0</v>
      </c>
      <c r="M510" s="2">
        <v>345</v>
      </c>
    </row>
    <row r="511" spans="1:13" x14ac:dyDescent="0.2">
      <c r="A511" s="2" t="s">
        <v>3574</v>
      </c>
      <c r="B511" s="2" t="s">
        <v>3575</v>
      </c>
      <c r="C511" s="2" t="s">
        <v>19</v>
      </c>
      <c r="D511" s="2" t="s">
        <v>52</v>
      </c>
      <c r="E511" s="2" t="s">
        <v>4128</v>
      </c>
      <c r="F511" s="5"/>
      <c r="G511" s="4">
        <v>0</v>
      </c>
      <c r="H511" s="4"/>
      <c r="I511" s="2" t="s">
        <v>23</v>
      </c>
      <c r="J511" s="2">
        <v>230</v>
      </c>
      <c r="K511" s="2">
        <v>1.5</v>
      </c>
      <c r="L511" s="2">
        <v>0</v>
      </c>
      <c r="M511" s="2">
        <v>345</v>
      </c>
    </row>
    <row r="512" spans="1:13" x14ac:dyDescent="0.2">
      <c r="A512" s="2" t="s">
        <v>923</v>
      </c>
      <c r="B512" s="2" t="s">
        <v>924</v>
      </c>
      <c r="C512" s="2" t="s">
        <v>94</v>
      </c>
      <c r="D512" s="2" t="s">
        <v>52</v>
      </c>
      <c r="E512" s="2" t="s">
        <v>4128</v>
      </c>
      <c r="F512" s="5"/>
      <c r="G512" s="4">
        <v>0</v>
      </c>
      <c r="H512" s="4"/>
      <c r="I512" s="2" t="s">
        <v>23</v>
      </c>
      <c r="J512" s="2">
        <v>230</v>
      </c>
      <c r="K512" s="2">
        <v>1.5</v>
      </c>
      <c r="L512" s="2">
        <v>0</v>
      </c>
      <c r="M512" s="2">
        <v>345</v>
      </c>
    </row>
    <row r="513" spans="1:13" x14ac:dyDescent="0.2">
      <c r="A513" s="2" t="s">
        <v>489</v>
      </c>
      <c r="B513" s="2" t="s">
        <v>490</v>
      </c>
      <c r="C513" s="2" t="s">
        <v>94</v>
      </c>
      <c r="D513" s="2" t="s">
        <v>52</v>
      </c>
      <c r="E513" s="2" t="s">
        <v>4128</v>
      </c>
      <c r="F513" s="5"/>
      <c r="G513" s="4">
        <v>0</v>
      </c>
      <c r="H513" s="4"/>
      <c r="I513" s="2" t="s">
        <v>23</v>
      </c>
      <c r="J513" s="2">
        <v>230</v>
      </c>
      <c r="K513" s="2">
        <v>1.5</v>
      </c>
      <c r="L513" s="2">
        <v>345</v>
      </c>
      <c r="M513" s="2">
        <v>0</v>
      </c>
    </row>
    <row r="514" spans="1:13" x14ac:dyDescent="0.2">
      <c r="A514" s="2" t="s">
        <v>339</v>
      </c>
      <c r="B514" s="2" t="s">
        <v>340</v>
      </c>
      <c r="C514" s="2" t="s">
        <v>7</v>
      </c>
      <c r="D514" s="2" t="s">
        <v>52</v>
      </c>
      <c r="E514" s="2" t="s">
        <v>4128</v>
      </c>
      <c r="F514" s="5"/>
      <c r="G514" s="4">
        <v>0</v>
      </c>
      <c r="H514" s="4"/>
      <c r="I514" s="2" t="s">
        <v>23</v>
      </c>
      <c r="J514" s="2">
        <v>230</v>
      </c>
      <c r="K514" s="2">
        <v>1.5</v>
      </c>
      <c r="L514" s="2">
        <v>600</v>
      </c>
      <c r="M514" s="2">
        <v>0</v>
      </c>
    </row>
    <row r="515" spans="1:13" x14ac:dyDescent="0.2">
      <c r="A515" s="2" t="s">
        <v>965</v>
      </c>
      <c r="B515" s="2" t="s">
        <v>966</v>
      </c>
      <c r="C515" s="2" t="s">
        <v>94</v>
      </c>
      <c r="D515" s="2" t="s">
        <v>52</v>
      </c>
      <c r="E515" s="2" t="s">
        <v>4128</v>
      </c>
      <c r="F515" s="5"/>
      <c r="G515" s="4">
        <v>0</v>
      </c>
      <c r="H515" s="4"/>
      <c r="I515" s="2" t="s">
        <v>23</v>
      </c>
      <c r="J515" s="2">
        <v>230</v>
      </c>
      <c r="K515" s="2">
        <v>1.5</v>
      </c>
      <c r="L515" s="2">
        <v>0</v>
      </c>
      <c r="M515" s="2">
        <v>345</v>
      </c>
    </row>
    <row r="516" spans="1:13" x14ac:dyDescent="0.2">
      <c r="A516" s="2" t="s">
        <v>3576</v>
      </c>
      <c r="B516" s="2" t="s">
        <v>3577</v>
      </c>
      <c r="C516" s="2" t="s">
        <v>66</v>
      </c>
      <c r="D516" s="2" t="s">
        <v>52</v>
      </c>
      <c r="E516" s="2" t="s">
        <v>4128</v>
      </c>
      <c r="F516" s="5"/>
      <c r="G516" s="4">
        <v>0</v>
      </c>
      <c r="H516" s="4"/>
      <c r="I516" s="2" t="s">
        <v>23</v>
      </c>
      <c r="J516" s="2">
        <v>230</v>
      </c>
      <c r="K516" s="2">
        <v>1.5</v>
      </c>
      <c r="L516" s="2">
        <v>0</v>
      </c>
      <c r="M516" s="2">
        <v>345</v>
      </c>
    </row>
    <row r="517" spans="1:13" x14ac:dyDescent="0.2">
      <c r="A517" s="2" t="s">
        <v>3578</v>
      </c>
      <c r="B517" s="2" t="s">
        <v>3579</v>
      </c>
      <c r="C517" s="2" t="s">
        <v>592</v>
      </c>
      <c r="D517" s="2" t="s">
        <v>52</v>
      </c>
      <c r="E517" s="2" t="s">
        <v>4128</v>
      </c>
      <c r="F517" s="5"/>
      <c r="G517" s="4">
        <v>0</v>
      </c>
      <c r="H517" s="4"/>
      <c r="I517" s="2" t="s">
        <v>23</v>
      </c>
      <c r="J517" s="2">
        <v>230</v>
      </c>
      <c r="K517" s="2">
        <v>1.5</v>
      </c>
      <c r="L517" s="2">
        <v>0</v>
      </c>
      <c r="M517" s="2">
        <v>345</v>
      </c>
    </row>
    <row r="518" spans="1:13" x14ac:dyDescent="0.2">
      <c r="A518" s="2" t="s">
        <v>3580</v>
      </c>
      <c r="B518" s="2" t="s">
        <v>3581</v>
      </c>
      <c r="C518" s="2" t="s">
        <v>66</v>
      </c>
      <c r="D518" s="2" t="s">
        <v>52</v>
      </c>
      <c r="E518" s="2" t="s">
        <v>4128</v>
      </c>
      <c r="F518" s="5"/>
      <c r="G518" s="4">
        <v>0</v>
      </c>
      <c r="H518" s="4"/>
      <c r="I518" s="2" t="s">
        <v>23</v>
      </c>
      <c r="J518" s="2">
        <v>230</v>
      </c>
      <c r="K518" s="2">
        <v>1.5</v>
      </c>
      <c r="L518" s="2">
        <v>0</v>
      </c>
      <c r="M518" s="2">
        <v>345</v>
      </c>
    </row>
    <row r="519" spans="1:13" x14ac:dyDescent="0.2">
      <c r="A519" s="2" t="s">
        <v>3582</v>
      </c>
      <c r="B519" s="2" t="s">
        <v>3583</v>
      </c>
      <c r="C519" s="2" t="s">
        <v>592</v>
      </c>
      <c r="D519" s="2" t="s">
        <v>52</v>
      </c>
      <c r="E519" s="2" t="s">
        <v>4128</v>
      </c>
      <c r="F519" s="5"/>
      <c r="G519" s="4">
        <v>0</v>
      </c>
      <c r="H519" s="4"/>
      <c r="I519" s="2" t="s">
        <v>23</v>
      </c>
      <c r="J519" s="2">
        <v>230</v>
      </c>
      <c r="K519" s="2">
        <v>1.5</v>
      </c>
      <c r="L519" s="2">
        <v>0</v>
      </c>
      <c r="M519" s="2">
        <v>345</v>
      </c>
    </row>
    <row r="520" spans="1:13" x14ac:dyDescent="0.2">
      <c r="A520" s="2" t="s">
        <v>3584</v>
      </c>
      <c r="B520" s="2" t="s">
        <v>3585</v>
      </c>
      <c r="C520" s="2" t="s">
        <v>4125</v>
      </c>
      <c r="D520" s="2" t="s">
        <v>52</v>
      </c>
      <c r="E520" s="2" t="s">
        <v>4128</v>
      </c>
      <c r="F520" s="5"/>
      <c r="G520" s="4">
        <v>0</v>
      </c>
      <c r="H520" s="4"/>
      <c r="I520" s="2" t="s">
        <v>23</v>
      </c>
      <c r="J520" s="2">
        <v>230</v>
      </c>
      <c r="K520" s="2">
        <v>1.5</v>
      </c>
      <c r="L520" s="2">
        <v>0</v>
      </c>
      <c r="M520" s="2">
        <v>345</v>
      </c>
    </row>
    <row r="521" spans="1:13" x14ac:dyDescent="0.2">
      <c r="A521" s="2" t="s">
        <v>3586</v>
      </c>
      <c r="B521" s="2" t="s">
        <v>3587</v>
      </c>
      <c r="C521" s="2" t="s">
        <v>4125</v>
      </c>
      <c r="D521" s="2" t="s">
        <v>52</v>
      </c>
      <c r="E521" s="2" t="s">
        <v>4128</v>
      </c>
      <c r="F521" s="5"/>
      <c r="G521" s="4">
        <v>0</v>
      </c>
      <c r="H521" s="4"/>
      <c r="I521" s="2" t="s">
        <v>23</v>
      </c>
      <c r="J521" s="2">
        <v>230</v>
      </c>
      <c r="K521" s="2">
        <v>1.5</v>
      </c>
      <c r="L521" s="2">
        <v>0</v>
      </c>
      <c r="M521" s="2">
        <v>345</v>
      </c>
    </row>
    <row r="522" spans="1:13" x14ac:dyDescent="0.2">
      <c r="A522" s="2" t="s">
        <v>343</v>
      </c>
      <c r="B522" s="2" t="s">
        <v>344</v>
      </c>
      <c r="C522" s="2" t="s">
        <v>592</v>
      </c>
      <c r="D522" s="2" t="s">
        <v>52</v>
      </c>
      <c r="E522" s="2" t="s">
        <v>4128</v>
      </c>
      <c r="F522" s="5"/>
      <c r="G522" s="4">
        <v>0</v>
      </c>
      <c r="H522" s="4"/>
      <c r="I522" s="2" t="s">
        <v>23</v>
      </c>
      <c r="J522" s="2">
        <v>230</v>
      </c>
      <c r="K522" s="2">
        <v>1.5</v>
      </c>
      <c r="L522" s="2">
        <v>810</v>
      </c>
      <c r="M522" s="2">
        <v>0</v>
      </c>
    </row>
    <row r="523" spans="1:13" x14ac:dyDescent="0.2">
      <c r="A523" s="2" t="s">
        <v>3588</v>
      </c>
      <c r="B523" s="2" t="s">
        <v>3589</v>
      </c>
      <c r="C523" s="2" t="s">
        <v>4125</v>
      </c>
      <c r="D523" s="2" t="s">
        <v>52</v>
      </c>
      <c r="E523" s="2" t="s">
        <v>4128</v>
      </c>
      <c r="F523" s="5"/>
      <c r="G523" s="4">
        <v>0</v>
      </c>
      <c r="H523" s="4"/>
      <c r="I523" s="2" t="s">
        <v>23</v>
      </c>
      <c r="J523" s="2">
        <v>230</v>
      </c>
      <c r="K523" s="2">
        <v>1.5</v>
      </c>
      <c r="L523" s="2">
        <v>0</v>
      </c>
      <c r="M523" s="2">
        <v>345</v>
      </c>
    </row>
    <row r="524" spans="1:13" x14ac:dyDescent="0.2">
      <c r="A524" s="2" t="s">
        <v>4024</v>
      </c>
      <c r="B524" s="2" t="s">
        <v>4025</v>
      </c>
      <c r="C524" s="2" t="s">
        <v>94</v>
      </c>
      <c r="D524" s="2" t="s">
        <v>52</v>
      </c>
      <c r="E524" s="2" t="s">
        <v>4128</v>
      </c>
      <c r="F524" s="5"/>
      <c r="G524" s="4">
        <v>0</v>
      </c>
      <c r="H524" s="4"/>
      <c r="I524" s="2" t="s">
        <v>23</v>
      </c>
      <c r="J524" s="2">
        <v>230</v>
      </c>
      <c r="K524" s="2">
        <v>1.5</v>
      </c>
      <c r="L524" s="2">
        <v>0</v>
      </c>
      <c r="M524" s="2">
        <v>345</v>
      </c>
    </row>
    <row r="525" spans="1:13" x14ac:dyDescent="0.2">
      <c r="A525" s="2" t="s">
        <v>3590</v>
      </c>
      <c r="B525" s="2" t="s">
        <v>3591</v>
      </c>
      <c r="C525" s="2" t="s">
        <v>4125</v>
      </c>
      <c r="D525" s="2" t="s">
        <v>52</v>
      </c>
      <c r="E525" s="2" t="s">
        <v>4128</v>
      </c>
      <c r="F525" s="5"/>
      <c r="G525" s="4">
        <v>0</v>
      </c>
      <c r="H525" s="4"/>
      <c r="I525" s="2" t="s">
        <v>23</v>
      </c>
      <c r="J525" s="2">
        <v>230</v>
      </c>
      <c r="K525" s="2">
        <v>1.5</v>
      </c>
      <c r="L525" s="2">
        <v>0</v>
      </c>
      <c r="M525" s="2">
        <v>345</v>
      </c>
    </row>
    <row r="526" spans="1:13" x14ac:dyDescent="0.2">
      <c r="A526" s="4" t="s">
        <v>367</v>
      </c>
      <c r="B526" s="4" t="s">
        <v>368</v>
      </c>
      <c r="C526" s="4" t="s">
        <v>4124</v>
      </c>
      <c r="D526" s="4" t="s">
        <v>52</v>
      </c>
      <c r="E526" s="4" t="s">
        <v>88</v>
      </c>
      <c r="F526" s="5"/>
      <c r="G526" s="4">
        <v>0</v>
      </c>
      <c r="H526" s="4"/>
      <c r="I526" s="4" t="s">
        <v>23</v>
      </c>
      <c r="J526" s="4">
        <v>230</v>
      </c>
      <c r="K526" s="4">
        <v>1.5</v>
      </c>
      <c r="L526" s="4">
        <v>210</v>
      </c>
      <c r="M526" s="4">
        <v>135</v>
      </c>
    </row>
    <row r="527" spans="1:13" x14ac:dyDescent="0.2">
      <c r="A527" s="2" t="s">
        <v>117</v>
      </c>
      <c r="B527" s="2" t="s">
        <v>118</v>
      </c>
      <c r="C527" s="2" t="s">
        <v>19</v>
      </c>
      <c r="D527" s="2" t="s">
        <v>52</v>
      </c>
      <c r="E527" s="2" t="s">
        <v>4128</v>
      </c>
      <c r="F527" s="5"/>
      <c r="G527" s="4">
        <v>0</v>
      </c>
      <c r="H527" s="4"/>
      <c r="I527" s="2" t="s">
        <v>4091</v>
      </c>
      <c r="J527" s="2">
        <v>230</v>
      </c>
      <c r="K527" s="2">
        <v>1.5</v>
      </c>
      <c r="L527" s="2">
        <v>600</v>
      </c>
      <c r="M527" s="2">
        <v>0</v>
      </c>
    </row>
    <row r="528" spans="1:13" x14ac:dyDescent="0.2">
      <c r="A528" s="2" t="s">
        <v>623</v>
      </c>
      <c r="B528" s="2" t="s">
        <v>624</v>
      </c>
      <c r="C528" s="2" t="s">
        <v>94</v>
      </c>
      <c r="D528" s="2" t="s">
        <v>52</v>
      </c>
      <c r="E528" s="2" t="s">
        <v>4128</v>
      </c>
      <c r="F528" s="5"/>
      <c r="G528" s="4">
        <v>0</v>
      </c>
      <c r="H528" s="4"/>
      <c r="I528" s="2" t="s">
        <v>22</v>
      </c>
      <c r="J528" s="2">
        <v>400</v>
      </c>
      <c r="K528" s="2">
        <v>1.5</v>
      </c>
      <c r="L528" s="2">
        <v>0</v>
      </c>
      <c r="M528" s="2">
        <v>600</v>
      </c>
    </row>
    <row r="529" spans="1:13" x14ac:dyDescent="0.2">
      <c r="A529" s="2" t="s">
        <v>3592</v>
      </c>
      <c r="B529" s="2" t="s">
        <v>3593</v>
      </c>
      <c r="C529" s="2" t="s">
        <v>54</v>
      </c>
      <c r="D529" s="2" t="s">
        <v>52</v>
      </c>
      <c r="E529" s="2" t="s">
        <v>4128</v>
      </c>
      <c r="F529" s="5"/>
      <c r="G529" s="4">
        <v>0</v>
      </c>
      <c r="H529" s="4"/>
      <c r="I529" s="2" t="s">
        <v>22</v>
      </c>
      <c r="J529" s="2">
        <v>400</v>
      </c>
      <c r="K529" s="2">
        <v>1.5</v>
      </c>
      <c r="L529" s="2">
        <v>0</v>
      </c>
      <c r="M529" s="2">
        <v>600</v>
      </c>
    </row>
    <row r="530" spans="1:13" x14ac:dyDescent="0.2">
      <c r="A530" s="2" t="s">
        <v>3594</v>
      </c>
      <c r="B530" s="2" t="s">
        <v>3595</v>
      </c>
      <c r="C530" s="2" t="s">
        <v>54</v>
      </c>
      <c r="D530" s="2" t="s">
        <v>52</v>
      </c>
      <c r="E530" s="2" t="s">
        <v>4128</v>
      </c>
      <c r="F530" s="5"/>
      <c r="G530" s="4">
        <v>0</v>
      </c>
      <c r="H530" s="4"/>
      <c r="I530" s="2" t="s">
        <v>22</v>
      </c>
      <c r="J530" s="2">
        <v>400</v>
      </c>
      <c r="K530" s="2">
        <v>1.5</v>
      </c>
      <c r="L530" s="2">
        <v>0</v>
      </c>
      <c r="M530" s="2">
        <v>600</v>
      </c>
    </row>
    <row r="531" spans="1:13" x14ac:dyDescent="0.2">
      <c r="A531" s="2" t="s">
        <v>551</v>
      </c>
      <c r="B531" s="2" t="s">
        <v>552</v>
      </c>
      <c r="C531" s="2" t="s">
        <v>4125</v>
      </c>
      <c r="D531" s="2" t="s">
        <v>52</v>
      </c>
      <c r="E531" s="2" t="s">
        <v>4128</v>
      </c>
      <c r="F531" s="5"/>
      <c r="G531" s="4">
        <v>0</v>
      </c>
      <c r="H531" s="4"/>
      <c r="I531" s="2" t="s">
        <v>22</v>
      </c>
      <c r="J531" s="2">
        <v>400</v>
      </c>
      <c r="K531" s="2">
        <v>1.5</v>
      </c>
      <c r="L531" s="2">
        <v>810</v>
      </c>
      <c r="M531" s="2">
        <v>0</v>
      </c>
    </row>
    <row r="532" spans="1:13" x14ac:dyDescent="0.2">
      <c r="A532" s="2" t="s">
        <v>3596</v>
      </c>
      <c r="B532" s="2" t="s">
        <v>3597</v>
      </c>
      <c r="C532" s="2" t="s">
        <v>54</v>
      </c>
      <c r="D532" s="2" t="s">
        <v>52</v>
      </c>
      <c r="E532" s="2" t="s">
        <v>4128</v>
      </c>
      <c r="F532" s="5"/>
      <c r="G532" s="4">
        <v>0</v>
      </c>
      <c r="H532" s="4"/>
      <c r="I532" s="2" t="s">
        <v>22</v>
      </c>
      <c r="J532" s="2">
        <v>400</v>
      </c>
      <c r="K532" s="2">
        <v>1.5</v>
      </c>
      <c r="L532" s="2">
        <v>0</v>
      </c>
      <c r="M532" s="2">
        <v>600</v>
      </c>
    </row>
    <row r="533" spans="1:13" x14ac:dyDescent="0.2">
      <c r="A533" s="2" t="s">
        <v>3598</v>
      </c>
      <c r="B533" s="2" t="s">
        <v>3599</v>
      </c>
      <c r="C533" s="2" t="s">
        <v>7</v>
      </c>
      <c r="D533" s="2" t="s">
        <v>52</v>
      </c>
      <c r="E533" s="2" t="s">
        <v>4128</v>
      </c>
      <c r="F533" s="5"/>
      <c r="G533" s="4">
        <v>0</v>
      </c>
      <c r="H533" s="4"/>
      <c r="I533" s="2" t="s">
        <v>22</v>
      </c>
      <c r="J533" s="2">
        <v>400</v>
      </c>
      <c r="K533" s="2">
        <v>1.5</v>
      </c>
      <c r="L533" s="2">
        <v>0</v>
      </c>
      <c r="M533" s="2">
        <v>600</v>
      </c>
    </row>
    <row r="534" spans="1:13" x14ac:dyDescent="0.2">
      <c r="A534" s="2" t="s">
        <v>4026</v>
      </c>
      <c r="B534" s="2" t="s">
        <v>4027</v>
      </c>
      <c r="C534" s="2" t="s">
        <v>54</v>
      </c>
      <c r="D534" s="2" t="s">
        <v>52</v>
      </c>
      <c r="E534" s="2" t="s">
        <v>4128</v>
      </c>
      <c r="F534" s="5"/>
      <c r="G534" s="4">
        <v>0</v>
      </c>
      <c r="H534" s="4"/>
      <c r="I534" s="2" t="s">
        <v>22</v>
      </c>
      <c r="J534" s="2">
        <v>400</v>
      </c>
      <c r="K534" s="2">
        <v>1.5</v>
      </c>
      <c r="L534" s="2">
        <v>0</v>
      </c>
      <c r="M534" s="2">
        <v>600</v>
      </c>
    </row>
    <row r="535" spans="1:13" x14ac:dyDescent="0.2">
      <c r="A535" s="2" t="s">
        <v>4028</v>
      </c>
      <c r="B535" s="2" t="s">
        <v>4029</v>
      </c>
      <c r="C535" s="2" t="s">
        <v>94</v>
      </c>
      <c r="D535" s="2" t="s">
        <v>52</v>
      </c>
      <c r="E535" s="2" t="s">
        <v>4128</v>
      </c>
      <c r="F535" s="5"/>
      <c r="G535" s="4">
        <v>0</v>
      </c>
      <c r="H535" s="4"/>
      <c r="I535" s="2" t="s">
        <v>22</v>
      </c>
      <c r="J535" s="2">
        <v>400</v>
      </c>
      <c r="K535" s="2">
        <v>1.5</v>
      </c>
      <c r="L535" s="2">
        <v>0</v>
      </c>
      <c r="M535" s="2">
        <v>600</v>
      </c>
    </row>
    <row r="536" spans="1:13" x14ac:dyDescent="0.2">
      <c r="A536" s="2" t="s">
        <v>1143</v>
      </c>
      <c r="B536" s="2" t="s">
        <v>1144</v>
      </c>
      <c r="C536" s="2" t="s">
        <v>592</v>
      </c>
      <c r="D536" s="2" t="s">
        <v>52</v>
      </c>
      <c r="E536" s="2" t="s">
        <v>4128</v>
      </c>
      <c r="F536" s="5"/>
      <c r="G536" s="4">
        <v>0</v>
      </c>
      <c r="H536" s="4"/>
      <c r="I536" s="2" t="s">
        <v>22</v>
      </c>
      <c r="J536" s="2">
        <v>400</v>
      </c>
      <c r="K536" s="2">
        <v>1.5</v>
      </c>
      <c r="L536" s="2">
        <v>210</v>
      </c>
      <c r="M536" s="2">
        <v>390</v>
      </c>
    </row>
    <row r="537" spans="1:13" x14ac:dyDescent="0.2">
      <c r="A537" s="2" t="s">
        <v>3600</v>
      </c>
      <c r="B537" s="2" t="s">
        <v>3601</v>
      </c>
      <c r="C537" s="2" t="s">
        <v>66</v>
      </c>
      <c r="D537" s="2" t="s">
        <v>52</v>
      </c>
      <c r="E537" s="2" t="s">
        <v>4128</v>
      </c>
      <c r="F537" s="5"/>
      <c r="G537" s="4">
        <v>0</v>
      </c>
      <c r="H537" s="4"/>
      <c r="I537" s="2" t="s">
        <v>22</v>
      </c>
      <c r="J537" s="2">
        <v>400</v>
      </c>
      <c r="K537" s="2">
        <v>1.5</v>
      </c>
      <c r="L537" s="2">
        <v>0</v>
      </c>
      <c r="M537" s="2">
        <v>600</v>
      </c>
    </row>
    <row r="538" spans="1:13" x14ac:dyDescent="0.2">
      <c r="A538" s="4" t="s">
        <v>685</v>
      </c>
      <c r="B538" s="4" t="s">
        <v>686</v>
      </c>
      <c r="C538" s="4" t="s">
        <v>4124</v>
      </c>
      <c r="D538" s="4" t="s">
        <v>52</v>
      </c>
      <c r="E538" s="4" t="s">
        <v>88</v>
      </c>
      <c r="F538" s="5"/>
      <c r="G538" s="4">
        <v>0</v>
      </c>
      <c r="H538" s="4"/>
      <c r="I538" s="4" t="s">
        <v>22</v>
      </c>
      <c r="J538" s="4">
        <v>400</v>
      </c>
      <c r="K538" s="4">
        <v>1.5</v>
      </c>
      <c r="L538" s="4">
        <v>0</v>
      </c>
      <c r="M538" s="4">
        <v>600</v>
      </c>
    </row>
    <row r="539" spans="1:13" x14ac:dyDescent="0.2">
      <c r="A539" s="2" t="s">
        <v>3602</v>
      </c>
      <c r="B539" s="2" t="s">
        <v>3603</v>
      </c>
      <c r="C539" s="2" t="s">
        <v>592</v>
      </c>
      <c r="D539" s="2" t="s">
        <v>52</v>
      </c>
      <c r="E539" s="2" t="s">
        <v>4128</v>
      </c>
      <c r="F539" s="5"/>
      <c r="G539" s="4">
        <v>0</v>
      </c>
      <c r="H539" s="4"/>
      <c r="I539" s="2" t="s">
        <v>22</v>
      </c>
      <c r="J539" s="2">
        <v>400</v>
      </c>
      <c r="K539" s="2">
        <v>1.5</v>
      </c>
      <c r="L539" s="2">
        <v>0</v>
      </c>
      <c r="M539" s="2">
        <v>600</v>
      </c>
    </row>
    <row r="540" spans="1:13" x14ac:dyDescent="0.2">
      <c r="A540" s="2" t="s">
        <v>151</v>
      </c>
      <c r="B540" s="2" t="s">
        <v>152</v>
      </c>
      <c r="C540" s="2" t="s">
        <v>4125</v>
      </c>
      <c r="D540" s="2" t="s">
        <v>52</v>
      </c>
      <c r="E540" s="2" t="s">
        <v>4128</v>
      </c>
      <c r="F540" s="5"/>
      <c r="G540" s="4">
        <v>0</v>
      </c>
      <c r="H540" s="4"/>
      <c r="I540" s="2" t="s">
        <v>22</v>
      </c>
      <c r="J540" s="2">
        <v>400</v>
      </c>
      <c r="K540" s="2">
        <v>1.5</v>
      </c>
      <c r="L540" s="2">
        <v>345</v>
      </c>
      <c r="M540" s="2">
        <v>255</v>
      </c>
    </row>
    <row r="541" spans="1:13" x14ac:dyDescent="0.2">
      <c r="A541" s="2" t="s">
        <v>3604</v>
      </c>
      <c r="B541" s="2" t="s">
        <v>3605</v>
      </c>
      <c r="C541" s="2" t="s">
        <v>592</v>
      </c>
      <c r="D541" s="2" t="s">
        <v>52</v>
      </c>
      <c r="E541" s="2" t="s">
        <v>4128</v>
      </c>
      <c r="F541" s="5"/>
      <c r="G541" s="4">
        <v>0</v>
      </c>
      <c r="H541" s="4"/>
      <c r="I541" s="2" t="s">
        <v>22</v>
      </c>
      <c r="J541" s="2">
        <v>400</v>
      </c>
      <c r="K541" s="2">
        <v>1.5</v>
      </c>
      <c r="L541" s="2">
        <v>0</v>
      </c>
      <c r="M541" s="2">
        <v>600</v>
      </c>
    </row>
    <row r="542" spans="1:13" x14ac:dyDescent="0.2">
      <c r="A542" s="2" t="s">
        <v>727</v>
      </c>
      <c r="B542" s="2" t="s">
        <v>728</v>
      </c>
      <c r="C542" s="2" t="s">
        <v>19</v>
      </c>
      <c r="D542" s="2" t="s">
        <v>52</v>
      </c>
      <c r="E542" s="2" t="s">
        <v>4128</v>
      </c>
      <c r="F542" s="5"/>
      <c r="G542" s="4">
        <v>0</v>
      </c>
      <c r="H542" s="4"/>
      <c r="I542" s="2" t="s">
        <v>22</v>
      </c>
      <c r="J542" s="2">
        <v>400</v>
      </c>
      <c r="K542" s="2">
        <v>1.5</v>
      </c>
      <c r="L542" s="2">
        <v>0</v>
      </c>
      <c r="M542" s="2">
        <v>600</v>
      </c>
    </row>
    <row r="543" spans="1:13" x14ac:dyDescent="0.2">
      <c r="A543" s="2" t="s">
        <v>3606</v>
      </c>
      <c r="B543" s="2" t="s">
        <v>3607</v>
      </c>
      <c r="C543" s="2" t="s">
        <v>66</v>
      </c>
      <c r="D543" s="2" t="s">
        <v>52</v>
      </c>
      <c r="E543" s="2" t="s">
        <v>4128</v>
      </c>
      <c r="F543" s="5"/>
      <c r="G543" s="4">
        <v>0</v>
      </c>
      <c r="H543" s="4"/>
      <c r="I543" s="2" t="s">
        <v>22</v>
      </c>
      <c r="J543" s="2">
        <v>400</v>
      </c>
      <c r="K543" s="2">
        <v>1.5</v>
      </c>
      <c r="L543" s="2">
        <v>0</v>
      </c>
      <c r="M543" s="2">
        <v>600</v>
      </c>
    </row>
    <row r="544" spans="1:13" x14ac:dyDescent="0.2">
      <c r="A544" s="2" t="s">
        <v>3608</v>
      </c>
      <c r="B544" s="2" t="s">
        <v>3609</v>
      </c>
      <c r="C544" s="2" t="s">
        <v>4125</v>
      </c>
      <c r="D544" s="2" t="s">
        <v>52</v>
      </c>
      <c r="E544" s="2" t="s">
        <v>4128</v>
      </c>
      <c r="F544" s="5"/>
      <c r="G544" s="4">
        <v>0</v>
      </c>
      <c r="H544" s="4"/>
      <c r="I544" s="2" t="s">
        <v>22</v>
      </c>
      <c r="J544" s="2">
        <v>400</v>
      </c>
      <c r="K544" s="2">
        <v>1.5</v>
      </c>
      <c r="L544" s="2">
        <v>0</v>
      </c>
      <c r="M544" s="2">
        <v>600</v>
      </c>
    </row>
    <row r="545" spans="1:13" x14ac:dyDescent="0.2">
      <c r="A545" s="2" t="s">
        <v>3610</v>
      </c>
      <c r="B545" s="2" t="s">
        <v>3611</v>
      </c>
      <c r="C545" s="2" t="s">
        <v>66</v>
      </c>
      <c r="D545" s="2" t="s">
        <v>52</v>
      </c>
      <c r="E545" s="2" t="s">
        <v>4128</v>
      </c>
      <c r="F545" s="5"/>
      <c r="G545" s="4">
        <v>0</v>
      </c>
      <c r="H545" s="4"/>
      <c r="I545" s="2" t="s">
        <v>22</v>
      </c>
      <c r="J545" s="2">
        <v>400</v>
      </c>
      <c r="K545" s="2">
        <v>1.5</v>
      </c>
      <c r="L545" s="2">
        <v>0</v>
      </c>
      <c r="M545" s="2">
        <v>600</v>
      </c>
    </row>
    <row r="546" spans="1:13" x14ac:dyDescent="0.2">
      <c r="A546" s="2" t="s">
        <v>711</v>
      </c>
      <c r="B546" s="2" t="s">
        <v>712</v>
      </c>
      <c r="C546" s="2" t="s">
        <v>4125</v>
      </c>
      <c r="D546" s="2" t="s">
        <v>52</v>
      </c>
      <c r="E546" s="2" t="s">
        <v>4128</v>
      </c>
      <c r="F546" s="5"/>
      <c r="G546" s="4">
        <v>0</v>
      </c>
      <c r="H546" s="4"/>
      <c r="I546" s="2" t="s">
        <v>22</v>
      </c>
      <c r="J546" s="2">
        <v>400</v>
      </c>
      <c r="K546" s="2">
        <v>1.5</v>
      </c>
      <c r="L546" s="2">
        <v>0</v>
      </c>
      <c r="M546" s="2">
        <v>600</v>
      </c>
    </row>
    <row r="547" spans="1:13" x14ac:dyDescent="0.2">
      <c r="A547" s="2" t="s">
        <v>3612</v>
      </c>
      <c r="B547" s="2" t="s">
        <v>3613</v>
      </c>
      <c r="C547" s="2" t="s">
        <v>94</v>
      </c>
      <c r="D547" s="2" t="s">
        <v>52</v>
      </c>
      <c r="E547" s="2" t="s">
        <v>4128</v>
      </c>
      <c r="F547" s="5"/>
      <c r="G547" s="4">
        <v>0</v>
      </c>
      <c r="H547" s="4"/>
      <c r="I547" s="2" t="s">
        <v>22</v>
      </c>
      <c r="J547" s="2">
        <v>400</v>
      </c>
      <c r="K547" s="2">
        <v>1.5</v>
      </c>
      <c r="L547" s="2">
        <v>0</v>
      </c>
      <c r="M547" s="2">
        <v>600</v>
      </c>
    </row>
    <row r="548" spans="1:13" x14ac:dyDescent="0.2">
      <c r="A548" s="2" t="s">
        <v>3614</v>
      </c>
      <c r="B548" s="2" t="s">
        <v>3615</v>
      </c>
      <c r="C548" s="2" t="s">
        <v>4125</v>
      </c>
      <c r="D548" s="2" t="s">
        <v>52</v>
      </c>
      <c r="E548" s="2" t="s">
        <v>4128</v>
      </c>
      <c r="F548" s="5"/>
      <c r="G548" s="4">
        <v>0</v>
      </c>
      <c r="H548" s="4"/>
      <c r="I548" s="2" t="s">
        <v>22</v>
      </c>
      <c r="J548" s="2">
        <v>400</v>
      </c>
      <c r="K548" s="2">
        <v>1.5</v>
      </c>
      <c r="L548" s="2">
        <v>0</v>
      </c>
      <c r="M548" s="2">
        <v>600</v>
      </c>
    </row>
    <row r="549" spans="1:13" x14ac:dyDescent="0.2">
      <c r="A549" s="2" t="s">
        <v>3616</v>
      </c>
      <c r="B549" s="2" t="s">
        <v>3617</v>
      </c>
      <c r="C549" s="2" t="s">
        <v>94</v>
      </c>
      <c r="D549" s="2" t="s">
        <v>52</v>
      </c>
      <c r="E549" s="2" t="s">
        <v>4128</v>
      </c>
      <c r="F549" s="5"/>
      <c r="G549" s="4">
        <v>0</v>
      </c>
      <c r="H549" s="4"/>
      <c r="I549" s="2" t="s">
        <v>22</v>
      </c>
      <c r="J549" s="2">
        <v>400</v>
      </c>
      <c r="K549" s="2">
        <v>1.5</v>
      </c>
      <c r="L549" s="2">
        <v>0</v>
      </c>
      <c r="M549" s="2">
        <v>600</v>
      </c>
    </row>
    <row r="550" spans="1:13" x14ac:dyDescent="0.2">
      <c r="A550" s="2" t="s">
        <v>3618</v>
      </c>
      <c r="B550" s="2" t="s">
        <v>3619</v>
      </c>
      <c r="C550" s="2" t="s">
        <v>66</v>
      </c>
      <c r="D550" s="2" t="s">
        <v>52</v>
      </c>
      <c r="E550" s="2" t="s">
        <v>4128</v>
      </c>
      <c r="F550" s="5"/>
      <c r="G550" s="4">
        <v>0</v>
      </c>
      <c r="H550" s="4"/>
      <c r="I550" s="2" t="s">
        <v>22</v>
      </c>
      <c r="J550" s="2">
        <v>400</v>
      </c>
      <c r="K550" s="2">
        <v>1.5</v>
      </c>
      <c r="L550" s="2">
        <v>0</v>
      </c>
      <c r="M550" s="2">
        <v>600</v>
      </c>
    </row>
    <row r="551" spans="1:13" x14ac:dyDescent="0.2">
      <c r="A551" s="4" t="s">
        <v>197</v>
      </c>
      <c r="B551" s="4" t="s">
        <v>198</v>
      </c>
      <c r="C551" s="4" t="s">
        <v>4124</v>
      </c>
      <c r="D551" s="4" t="s">
        <v>52</v>
      </c>
      <c r="E551" s="4" t="s">
        <v>88</v>
      </c>
      <c r="F551" s="5"/>
      <c r="G551" s="4">
        <v>0</v>
      </c>
      <c r="H551" s="4"/>
      <c r="I551" s="4" t="s">
        <v>22</v>
      </c>
      <c r="J551" s="4">
        <v>400</v>
      </c>
      <c r="K551" s="4">
        <v>1.5</v>
      </c>
      <c r="L551" s="4">
        <v>600</v>
      </c>
      <c r="M551" s="4">
        <v>0</v>
      </c>
    </row>
    <row r="552" spans="1:13" x14ac:dyDescent="0.2">
      <c r="A552" s="2" t="s">
        <v>817</v>
      </c>
      <c r="B552" s="2" t="s">
        <v>818</v>
      </c>
      <c r="C552" s="2" t="s">
        <v>4125</v>
      </c>
      <c r="D552" s="2" t="s">
        <v>52</v>
      </c>
      <c r="E552" s="2" t="s">
        <v>4128</v>
      </c>
      <c r="F552" s="5"/>
      <c r="G552" s="4">
        <v>0</v>
      </c>
      <c r="H552" s="4"/>
      <c r="I552" s="2" t="s">
        <v>22</v>
      </c>
      <c r="J552" s="2">
        <v>400</v>
      </c>
      <c r="K552" s="2">
        <v>1.5</v>
      </c>
      <c r="L552" s="2">
        <v>0</v>
      </c>
      <c r="M552" s="2">
        <v>600</v>
      </c>
    </row>
    <row r="553" spans="1:13" x14ac:dyDescent="0.2">
      <c r="A553" s="2" t="s">
        <v>245</v>
      </c>
      <c r="B553" s="2" t="s">
        <v>246</v>
      </c>
      <c r="C553" s="2" t="s">
        <v>7</v>
      </c>
      <c r="D553" s="2" t="s">
        <v>52</v>
      </c>
      <c r="E553" s="2" t="s">
        <v>4128</v>
      </c>
      <c r="F553" s="5"/>
      <c r="G553" s="4">
        <v>0</v>
      </c>
      <c r="H553" s="4"/>
      <c r="I553" s="2" t="s">
        <v>22</v>
      </c>
      <c r="J553" s="2">
        <v>400</v>
      </c>
      <c r="K553" s="2">
        <v>1.5</v>
      </c>
      <c r="L553" s="2">
        <v>210</v>
      </c>
      <c r="M553" s="2">
        <v>390</v>
      </c>
    </row>
    <row r="554" spans="1:13" x14ac:dyDescent="0.2">
      <c r="A554" s="2" t="s">
        <v>1211</v>
      </c>
      <c r="B554" s="2" t="s">
        <v>1212</v>
      </c>
      <c r="C554" s="2" t="s">
        <v>1366</v>
      </c>
      <c r="D554" s="2" t="s">
        <v>52</v>
      </c>
      <c r="E554" s="2" t="s">
        <v>4128</v>
      </c>
      <c r="F554" s="5"/>
      <c r="G554" s="4">
        <v>0</v>
      </c>
      <c r="H554" s="4"/>
      <c r="I554" s="2" t="s">
        <v>22</v>
      </c>
      <c r="J554" s="2">
        <v>400</v>
      </c>
      <c r="K554" s="2">
        <v>1.5</v>
      </c>
      <c r="L554" s="2">
        <v>600</v>
      </c>
      <c r="M554" s="2">
        <v>0</v>
      </c>
    </row>
    <row r="555" spans="1:13" x14ac:dyDescent="0.2">
      <c r="A555" s="2" t="s">
        <v>3620</v>
      </c>
      <c r="B555" s="2" t="s">
        <v>3621</v>
      </c>
      <c r="C555" s="2" t="s">
        <v>66</v>
      </c>
      <c r="D555" s="2" t="s">
        <v>52</v>
      </c>
      <c r="E555" s="2" t="s">
        <v>4128</v>
      </c>
      <c r="F555" s="5"/>
      <c r="G555" s="4">
        <v>0</v>
      </c>
      <c r="H555" s="4"/>
      <c r="I555" s="2" t="s">
        <v>22</v>
      </c>
      <c r="J555" s="2">
        <v>400</v>
      </c>
      <c r="K555" s="2">
        <v>1.5</v>
      </c>
      <c r="L555" s="2">
        <v>0</v>
      </c>
      <c r="M555" s="2">
        <v>600</v>
      </c>
    </row>
    <row r="556" spans="1:13" x14ac:dyDescent="0.2">
      <c r="A556" s="2" t="s">
        <v>3622</v>
      </c>
      <c r="B556" s="2" t="s">
        <v>3623</v>
      </c>
      <c r="C556" s="2" t="s">
        <v>66</v>
      </c>
      <c r="D556" s="2" t="s">
        <v>52</v>
      </c>
      <c r="E556" s="2" t="s">
        <v>4128</v>
      </c>
      <c r="F556" s="5"/>
      <c r="G556" s="4">
        <v>0</v>
      </c>
      <c r="H556" s="4"/>
      <c r="I556" s="2" t="s">
        <v>22</v>
      </c>
      <c r="J556" s="2">
        <v>400</v>
      </c>
      <c r="K556" s="2">
        <v>1.5</v>
      </c>
      <c r="L556" s="2">
        <v>0</v>
      </c>
      <c r="M556" s="2">
        <v>600</v>
      </c>
    </row>
    <row r="557" spans="1:13" x14ac:dyDescent="0.2">
      <c r="A557" s="2" t="s">
        <v>429</v>
      </c>
      <c r="B557" s="2" t="s">
        <v>430</v>
      </c>
      <c r="C557" s="2" t="s">
        <v>19</v>
      </c>
      <c r="D557" s="2" t="s">
        <v>52</v>
      </c>
      <c r="E557" s="2" t="s">
        <v>4128</v>
      </c>
      <c r="F557" s="5">
        <v>45933</v>
      </c>
      <c r="G557" s="4">
        <v>4000</v>
      </c>
      <c r="H557" s="4"/>
      <c r="I557" s="2" t="s">
        <v>22</v>
      </c>
      <c r="J557" s="2">
        <v>400</v>
      </c>
      <c r="K557" s="2">
        <v>1.5</v>
      </c>
      <c r="L557" s="2">
        <v>600</v>
      </c>
      <c r="M557" s="2">
        <v>0</v>
      </c>
    </row>
    <row r="558" spans="1:13" x14ac:dyDescent="0.2">
      <c r="A558" s="2" t="s">
        <v>305</v>
      </c>
      <c r="B558" s="2" t="s">
        <v>306</v>
      </c>
      <c r="C558" s="2" t="s">
        <v>94</v>
      </c>
      <c r="D558" s="2" t="s">
        <v>52</v>
      </c>
      <c r="E558" s="2" t="s">
        <v>4128</v>
      </c>
      <c r="F558" s="5"/>
      <c r="G558" s="4">
        <v>0</v>
      </c>
      <c r="H558" s="4"/>
      <c r="I558" s="2" t="s">
        <v>22</v>
      </c>
      <c r="J558" s="2">
        <v>400</v>
      </c>
      <c r="K558" s="2">
        <v>1.5</v>
      </c>
      <c r="L558" s="2">
        <v>210</v>
      </c>
      <c r="M558" s="2">
        <v>390</v>
      </c>
    </row>
    <row r="559" spans="1:13" x14ac:dyDescent="0.2">
      <c r="A559" s="2" t="s">
        <v>3624</v>
      </c>
      <c r="B559" s="2" t="s">
        <v>3625</v>
      </c>
      <c r="C559" s="2" t="s">
        <v>7</v>
      </c>
      <c r="D559" s="2" t="s">
        <v>52</v>
      </c>
      <c r="E559" s="2" t="s">
        <v>4128</v>
      </c>
      <c r="F559" s="5"/>
      <c r="G559" s="4">
        <v>0</v>
      </c>
      <c r="H559" s="4"/>
      <c r="I559" s="2" t="s">
        <v>22</v>
      </c>
      <c r="J559" s="2">
        <v>400</v>
      </c>
      <c r="K559" s="2">
        <v>1.5</v>
      </c>
      <c r="L559" s="2">
        <v>0</v>
      </c>
      <c r="M559" s="2">
        <v>600</v>
      </c>
    </row>
    <row r="560" spans="1:13" x14ac:dyDescent="0.2">
      <c r="A560" s="2" t="s">
        <v>4030</v>
      </c>
      <c r="B560" s="2" t="s">
        <v>4031</v>
      </c>
      <c r="C560" s="2" t="s">
        <v>7</v>
      </c>
      <c r="D560" s="2" t="s">
        <v>52</v>
      </c>
      <c r="E560" s="2" t="s">
        <v>4128</v>
      </c>
      <c r="F560" s="5"/>
      <c r="G560" s="4">
        <v>0</v>
      </c>
      <c r="H560" s="4"/>
      <c r="I560" s="2" t="s">
        <v>22</v>
      </c>
      <c r="J560" s="2">
        <v>400</v>
      </c>
      <c r="K560" s="2">
        <v>1.5</v>
      </c>
      <c r="L560" s="2">
        <v>0</v>
      </c>
      <c r="M560" s="2">
        <v>600</v>
      </c>
    </row>
    <row r="561" spans="1:13" x14ac:dyDescent="0.2">
      <c r="A561" s="2" t="s">
        <v>475</v>
      </c>
      <c r="B561" s="2" t="s">
        <v>476</v>
      </c>
      <c r="C561" s="2" t="s">
        <v>7</v>
      </c>
      <c r="D561" s="2" t="s">
        <v>52</v>
      </c>
      <c r="E561" s="2" t="s">
        <v>4128</v>
      </c>
      <c r="F561" s="5"/>
      <c r="G561" s="4">
        <v>0</v>
      </c>
      <c r="H561" s="4"/>
      <c r="I561" s="2" t="s">
        <v>22</v>
      </c>
      <c r="J561" s="2">
        <v>400</v>
      </c>
      <c r="K561" s="2">
        <v>1.5</v>
      </c>
      <c r="L561" s="2">
        <v>345</v>
      </c>
      <c r="M561" s="2">
        <v>255</v>
      </c>
    </row>
    <row r="562" spans="1:13" x14ac:dyDescent="0.2">
      <c r="A562" s="2" t="s">
        <v>3626</v>
      </c>
      <c r="B562" s="2" t="s">
        <v>3627</v>
      </c>
      <c r="C562" s="2" t="s">
        <v>7</v>
      </c>
      <c r="D562" s="2" t="s">
        <v>52</v>
      </c>
      <c r="E562" s="2" t="s">
        <v>4128</v>
      </c>
      <c r="F562" s="5"/>
      <c r="G562" s="4">
        <v>0</v>
      </c>
      <c r="H562" s="4"/>
      <c r="I562" s="2" t="s">
        <v>22</v>
      </c>
      <c r="J562" s="2">
        <v>400</v>
      </c>
      <c r="K562" s="2">
        <v>1.5</v>
      </c>
      <c r="L562" s="2">
        <v>0</v>
      </c>
      <c r="M562" s="2">
        <v>600</v>
      </c>
    </row>
    <row r="563" spans="1:13" x14ac:dyDescent="0.2">
      <c r="A563" s="2" t="s">
        <v>1113</v>
      </c>
      <c r="B563" s="2" t="s">
        <v>1114</v>
      </c>
      <c r="C563" s="2" t="s">
        <v>54</v>
      </c>
      <c r="D563" s="2" t="s">
        <v>52</v>
      </c>
      <c r="E563" s="2" t="s">
        <v>4128</v>
      </c>
      <c r="F563" s="5"/>
      <c r="G563" s="4">
        <v>0</v>
      </c>
      <c r="H563" s="4"/>
      <c r="I563" s="2" t="s">
        <v>22</v>
      </c>
      <c r="J563" s="2">
        <v>400</v>
      </c>
      <c r="K563" s="2">
        <v>1.5</v>
      </c>
      <c r="L563" s="2">
        <v>210</v>
      </c>
      <c r="M563" s="2">
        <v>390</v>
      </c>
    </row>
    <row r="564" spans="1:13" x14ac:dyDescent="0.2">
      <c r="A564" s="2" t="s">
        <v>3628</v>
      </c>
      <c r="B564" s="2" t="s">
        <v>3629</v>
      </c>
      <c r="C564" s="2" t="s">
        <v>66</v>
      </c>
      <c r="D564" s="2" t="s">
        <v>52</v>
      </c>
      <c r="E564" s="2" t="s">
        <v>4128</v>
      </c>
      <c r="F564" s="5"/>
      <c r="G564" s="4">
        <v>0</v>
      </c>
      <c r="H564" s="4"/>
      <c r="I564" s="2" t="s">
        <v>22</v>
      </c>
      <c r="J564" s="2">
        <v>400</v>
      </c>
      <c r="K564" s="2">
        <v>1.5</v>
      </c>
      <c r="L564" s="2">
        <v>0</v>
      </c>
      <c r="M564" s="2">
        <v>600</v>
      </c>
    </row>
    <row r="565" spans="1:13" x14ac:dyDescent="0.2">
      <c r="A565" s="2" t="s">
        <v>967</v>
      </c>
      <c r="B565" s="2" t="s">
        <v>968</v>
      </c>
      <c r="C565" s="2" t="s">
        <v>592</v>
      </c>
      <c r="D565" s="2" t="s">
        <v>52</v>
      </c>
      <c r="E565" s="2" t="s">
        <v>4128</v>
      </c>
      <c r="F565" s="5"/>
      <c r="G565" s="4">
        <v>0</v>
      </c>
      <c r="H565" s="4"/>
      <c r="I565" s="2" t="s">
        <v>22</v>
      </c>
      <c r="J565" s="2">
        <v>400</v>
      </c>
      <c r="K565" s="2">
        <v>1.5</v>
      </c>
      <c r="L565" s="2">
        <v>0</v>
      </c>
      <c r="M565" s="2">
        <v>600</v>
      </c>
    </row>
    <row r="566" spans="1:13" x14ac:dyDescent="0.2">
      <c r="A566" s="2" t="s">
        <v>3630</v>
      </c>
      <c r="B566" s="2" t="s">
        <v>3631</v>
      </c>
      <c r="C566" s="2" t="s">
        <v>4125</v>
      </c>
      <c r="D566" s="2" t="s">
        <v>52</v>
      </c>
      <c r="E566" s="2" t="s">
        <v>4128</v>
      </c>
      <c r="F566" s="5"/>
      <c r="G566" s="4">
        <v>0</v>
      </c>
      <c r="H566" s="4"/>
      <c r="I566" s="2" t="s">
        <v>22</v>
      </c>
      <c r="J566" s="2">
        <v>400</v>
      </c>
      <c r="K566" s="2">
        <v>1.5</v>
      </c>
      <c r="L566" s="2">
        <v>0</v>
      </c>
      <c r="M566" s="2">
        <v>600</v>
      </c>
    </row>
    <row r="567" spans="1:13" x14ac:dyDescent="0.2">
      <c r="A567" s="2" t="s">
        <v>1195</v>
      </c>
      <c r="B567" s="2" t="s">
        <v>1196</v>
      </c>
      <c r="C567" s="2" t="s">
        <v>94</v>
      </c>
      <c r="D567" s="2" t="s">
        <v>52</v>
      </c>
      <c r="E567" s="2" t="s">
        <v>4128</v>
      </c>
      <c r="F567" s="5"/>
      <c r="G567" s="4">
        <v>0</v>
      </c>
      <c r="H567" s="4"/>
      <c r="I567" s="2" t="s">
        <v>22</v>
      </c>
      <c r="J567" s="2">
        <v>400</v>
      </c>
      <c r="K567" s="2">
        <v>1.5</v>
      </c>
      <c r="L567" s="2">
        <v>345</v>
      </c>
      <c r="M567" s="2">
        <v>255</v>
      </c>
    </row>
    <row r="568" spans="1:13" x14ac:dyDescent="0.2">
      <c r="A568" s="2" t="s">
        <v>351</v>
      </c>
      <c r="B568" s="2" t="s">
        <v>352</v>
      </c>
      <c r="C568" s="2" t="s">
        <v>94</v>
      </c>
      <c r="D568" s="2" t="s">
        <v>52</v>
      </c>
      <c r="E568" s="2" t="s">
        <v>4128</v>
      </c>
      <c r="F568" s="5"/>
      <c r="G568" s="4">
        <v>0</v>
      </c>
      <c r="H568" s="4"/>
      <c r="I568" s="2" t="s">
        <v>22</v>
      </c>
      <c r="J568" s="2">
        <v>400</v>
      </c>
      <c r="K568" s="2">
        <v>1.5</v>
      </c>
      <c r="L568" s="2">
        <v>210</v>
      </c>
      <c r="M568" s="2">
        <v>390</v>
      </c>
    </row>
    <row r="569" spans="1:13" x14ac:dyDescent="0.2">
      <c r="A569" s="2" t="s">
        <v>3632</v>
      </c>
      <c r="B569" s="2" t="s">
        <v>3633</v>
      </c>
      <c r="C569" s="2" t="s">
        <v>4125</v>
      </c>
      <c r="D569" s="2" t="s">
        <v>52</v>
      </c>
      <c r="E569" s="2" t="s">
        <v>4128</v>
      </c>
      <c r="F569" s="5"/>
      <c r="G569" s="4">
        <v>0</v>
      </c>
      <c r="H569" s="4"/>
      <c r="I569" s="2" t="s">
        <v>22</v>
      </c>
      <c r="J569" s="2">
        <v>400</v>
      </c>
      <c r="K569" s="2">
        <v>1.5</v>
      </c>
      <c r="L569" s="2">
        <v>0</v>
      </c>
      <c r="M569" s="2">
        <v>600</v>
      </c>
    </row>
    <row r="570" spans="1:13" x14ac:dyDescent="0.2">
      <c r="A570" s="2" t="s">
        <v>3634</v>
      </c>
      <c r="B570" s="2" t="s">
        <v>3635</v>
      </c>
      <c r="C570" s="2" t="s">
        <v>4125</v>
      </c>
      <c r="D570" s="2" t="s">
        <v>52</v>
      </c>
      <c r="E570" s="2" t="s">
        <v>4128</v>
      </c>
      <c r="F570" s="5"/>
      <c r="G570" s="4">
        <v>0</v>
      </c>
      <c r="H570" s="4"/>
      <c r="I570" s="2" t="s">
        <v>22</v>
      </c>
      <c r="J570" s="2">
        <v>400</v>
      </c>
      <c r="K570" s="2">
        <v>1.5</v>
      </c>
      <c r="L570" s="2">
        <v>0</v>
      </c>
      <c r="M570" s="2">
        <v>600</v>
      </c>
    </row>
    <row r="571" spans="1:13" x14ac:dyDescent="0.2">
      <c r="A571" s="2" t="s">
        <v>3636</v>
      </c>
      <c r="B571" s="2" t="s">
        <v>3637</v>
      </c>
      <c r="C571" s="2" t="s">
        <v>4125</v>
      </c>
      <c r="D571" s="2" t="s">
        <v>52</v>
      </c>
      <c r="E571" s="2" t="s">
        <v>4128</v>
      </c>
      <c r="F571" s="5"/>
      <c r="G571" s="4">
        <v>0</v>
      </c>
      <c r="H571" s="4"/>
      <c r="I571" s="2" t="s">
        <v>22</v>
      </c>
      <c r="J571" s="2">
        <v>400</v>
      </c>
      <c r="K571" s="2">
        <v>1.5</v>
      </c>
      <c r="L571" s="2">
        <v>0</v>
      </c>
      <c r="M571" s="2">
        <v>600</v>
      </c>
    </row>
    <row r="572" spans="1:13" x14ac:dyDescent="0.2">
      <c r="A572" s="2" t="s">
        <v>1199</v>
      </c>
      <c r="B572" s="2" t="s">
        <v>1200</v>
      </c>
      <c r="C572" s="2" t="s">
        <v>19</v>
      </c>
      <c r="D572" s="2" t="s">
        <v>52</v>
      </c>
      <c r="E572" s="2" t="s">
        <v>4128</v>
      </c>
      <c r="F572" s="5"/>
      <c r="G572" s="4">
        <v>0</v>
      </c>
      <c r="H572" s="4"/>
      <c r="I572" s="2" t="s">
        <v>43</v>
      </c>
      <c r="J572" s="2">
        <v>540</v>
      </c>
      <c r="K572" s="2">
        <v>1.5</v>
      </c>
      <c r="L572" s="2">
        <v>600</v>
      </c>
      <c r="M572" s="2">
        <v>210</v>
      </c>
    </row>
    <row r="573" spans="1:13" x14ac:dyDescent="0.2">
      <c r="A573" s="2" t="s">
        <v>499</v>
      </c>
      <c r="B573" s="2" t="s">
        <v>500</v>
      </c>
      <c r="C573" s="2" t="s">
        <v>19</v>
      </c>
      <c r="D573" s="2" t="s">
        <v>52</v>
      </c>
      <c r="E573" s="2" t="s">
        <v>4128</v>
      </c>
      <c r="F573" s="5"/>
      <c r="G573" s="4">
        <v>0</v>
      </c>
      <c r="H573" s="4"/>
      <c r="I573" s="2" t="s">
        <v>43</v>
      </c>
      <c r="J573" s="2">
        <v>540</v>
      </c>
      <c r="K573" s="2">
        <v>1.5</v>
      </c>
      <c r="L573" s="2">
        <v>600</v>
      </c>
      <c r="M573" s="2">
        <v>210</v>
      </c>
    </row>
    <row r="574" spans="1:13" x14ac:dyDescent="0.2">
      <c r="A574" s="4" t="s">
        <v>1197</v>
      </c>
      <c r="B574" s="4" t="s">
        <v>1198</v>
      </c>
      <c r="C574" s="4" t="s">
        <v>4124</v>
      </c>
      <c r="D574" s="4" t="s">
        <v>52</v>
      </c>
      <c r="E574" s="4" t="s">
        <v>88</v>
      </c>
      <c r="F574" s="5"/>
      <c r="G574" s="4">
        <v>0</v>
      </c>
      <c r="H574" s="4"/>
      <c r="I574" s="4" t="s">
        <v>43</v>
      </c>
      <c r="J574" s="4">
        <v>540</v>
      </c>
      <c r="K574" s="4">
        <v>1.5</v>
      </c>
      <c r="L574" s="4">
        <v>600</v>
      </c>
      <c r="M574" s="4">
        <v>210</v>
      </c>
    </row>
    <row r="575" spans="1:13" x14ac:dyDescent="0.2">
      <c r="A575" s="4" t="s">
        <v>3638</v>
      </c>
      <c r="B575" s="4" t="s">
        <v>3639</v>
      </c>
      <c r="C575" s="4" t="s">
        <v>4124</v>
      </c>
      <c r="D575" s="4" t="s">
        <v>63</v>
      </c>
      <c r="E575" s="4" t="s">
        <v>88</v>
      </c>
      <c r="F575" s="5"/>
      <c r="G575" s="4">
        <v>0</v>
      </c>
      <c r="H575" s="4"/>
      <c r="I575" s="4" t="s">
        <v>43</v>
      </c>
      <c r="J575" s="4">
        <v>540</v>
      </c>
      <c r="K575" s="4">
        <v>1.5</v>
      </c>
      <c r="L575" s="4">
        <v>0</v>
      </c>
      <c r="M575" s="4">
        <v>810</v>
      </c>
    </row>
    <row r="576" spans="1:13" x14ac:dyDescent="0.2">
      <c r="A576" s="4" t="s">
        <v>115</v>
      </c>
      <c r="B576" s="4" t="s">
        <v>116</v>
      </c>
      <c r="C576" s="4" t="s">
        <v>4124</v>
      </c>
      <c r="D576" s="4" t="s">
        <v>45</v>
      </c>
      <c r="E576" s="4" t="s">
        <v>88</v>
      </c>
      <c r="F576" s="5"/>
      <c r="G576" s="4">
        <v>0</v>
      </c>
      <c r="H576" s="4"/>
      <c r="I576" s="4" t="s">
        <v>43</v>
      </c>
      <c r="J576" s="4">
        <v>540</v>
      </c>
      <c r="K576" s="4">
        <v>1.5</v>
      </c>
      <c r="L576" s="4">
        <v>345</v>
      </c>
      <c r="M576" s="4">
        <v>465</v>
      </c>
    </row>
    <row r="577" spans="1:13" x14ac:dyDescent="0.2">
      <c r="A577" s="4" t="s">
        <v>645</v>
      </c>
      <c r="B577" s="4" t="s">
        <v>646</v>
      </c>
      <c r="C577" s="4" t="s">
        <v>4124</v>
      </c>
      <c r="D577" s="4" t="s">
        <v>52</v>
      </c>
      <c r="E577" s="4" t="s">
        <v>88</v>
      </c>
      <c r="F577" s="5"/>
      <c r="G577" s="4">
        <v>0</v>
      </c>
      <c r="H577" s="4"/>
      <c r="I577" s="4" t="s">
        <v>43</v>
      </c>
      <c r="J577" s="4">
        <v>540</v>
      </c>
      <c r="K577" s="4">
        <v>1.5</v>
      </c>
      <c r="L577" s="4">
        <v>0</v>
      </c>
      <c r="M577" s="4">
        <v>810</v>
      </c>
    </row>
    <row r="578" spans="1:13" x14ac:dyDescent="0.2">
      <c r="A578" s="2" t="s">
        <v>1347</v>
      </c>
      <c r="B578" s="2" t="s">
        <v>1348</v>
      </c>
      <c r="C578" s="2" t="s">
        <v>7</v>
      </c>
      <c r="D578" s="2" t="s">
        <v>52</v>
      </c>
      <c r="E578" s="2" t="s">
        <v>4128</v>
      </c>
      <c r="F578" s="5"/>
      <c r="G578" s="4">
        <v>0</v>
      </c>
      <c r="H578" s="4"/>
      <c r="I578" s="2" t="s">
        <v>43</v>
      </c>
      <c r="J578" s="2">
        <v>540</v>
      </c>
      <c r="K578" s="2">
        <v>1.5</v>
      </c>
      <c r="L578" s="2">
        <v>810</v>
      </c>
      <c r="M578" s="2">
        <v>0</v>
      </c>
    </row>
    <row r="579" spans="1:13" x14ac:dyDescent="0.2">
      <c r="A579" s="2" t="s">
        <v>165</v>
      </c>
      <c r="B579" s="2" t="s">
        <v>166</v>
      </c>
      <c r="C579" s="2" t="s">
        <v>7</v>
      </c>
      <c r="D579" s="2" t="s">
        <v>52</v>
      </c>
      <c r="E579" s="2" t="s">
        <v>4128</v>
      </c>
      <c r="F579" s="5"/>
      <c r="G579" s="4">
        <v>0</v>
      </c>
      <c r="H579" s="4"/>
      <c r="I579" s="2" t="s">
        <v>43</v>
      </c>
      <c r="J579" s="2">
        <v>540</v>
      </c>
      <c r="K579" s="2">
        <v>1.5</v>
      </c>
      <c r="L579" s="2">
        <v>810</v>
      </c>
      <c r="M579" s="2">
        <v>0</v>
      </c>
    </row>
    <row r="580" spans="1:13" x14ac:dyDescent="0.2">
      <c r="A580" s="2" t="s">
        <v>731</v>
      </c>
      <c r="B580" s="2" t="s">
        <v>732</v>
      </c>
      <c r="C580" s="2" t="s">
        <v>94</v>
      </c>
      <c r="D580" s="2" t="s">
        <v>52</v>
      </c>
      <c r="E580" s="2" t="s">
        <v>4128</v>
      </c>
      <c r="F580" s="5"/>
      <c r="G580" s="4">
        <v>0</v>
      </c>
      <c r="H580" s="4"/>
      <c r="I580" s="2" t="s">
        <v>43</v>
      </c>
      <c r="J580" s="2">
        <v>540</v>
      </c>
      <c r="K580" s="2">
        <v>1.5</v>
      </c>
      <c r="L580" s="2">
        <v>0</v>
      </c>
      <c r="M580" s="2">
        <v>810</v>
      </c>
    </row>
    <row r="581" spans="1:13" x14ac:dyDescent="0.2">
      <c r="A581" s="2" t="s">
        <v>503</v>
      </c>
      <c r="B581" s="2" t="s">
        <v>504</v>
      </c>
      <c r="C581" s="2" t="s">
        <v>54</v>
      </c>
      <c r="D581" s="2" t="s">
        <v>52</v>
      </c>
      <c r="E581" s="2" t="s">
        <v>4128</v>
      </c>
      <c r="F581" s="5">
        <v>45883</v>
      </c>
      <c r="G581" s="4">
        <v>10964.6</v>
      </c>
      <c r="H581" s="4"/>
      <c r="I581" s="2" t="s">
        <v>43</v>
      </c>
      <c r="J581" s="2">
        <v>540</v>
      </c>
      <c r="K581" s="2">
        <v>1.5</v>
      </c>
      <c r="L581" s="2">
        <v>600</v>
      </c>
      <c r="M581" s="2">
        <v>210</v>
      </c>
    </row>
    <row r="582" spans="1:13" x14ac:dyDescent="0.2">
      <c r="A582" s="2" t="s">
        <v>1177</v>
      </c>
      <c r="B582" s="2" t="s">
        <v>1178</v>
      </c>
      <c r="C582" s="2" t="s">
        <v>94</v>
      </c>
      <c r="D582" s="2" t="s">
        <v>52</v>
      </c>
      <c r="E582" s="2" t="s">
        <v>4128</v>
      </c>
      <c r="F582" s="5"/>
      <c r="G582" s="4">
        <v>0</v>
      </c>
      <c r="H582" s="4"/>
      <c r="I582" s="2" t="s">
        <v>43</v>
      </c>
      <c r="J582" s="2">
        <v>540</v>
      </c>
      <c r="K582" s="2">
        <v>1.5</v>
      </c>
      <c r="L582" s="2">
        <v>345</v>
      </c>
      <c r="M582" s="2">
        <v>465</v>
      </c>
    </row>
    <row r="583" spans="1:13" x14ac:dyDescent="0.2">
      <c r="A583" s="2" t="s">
        <v>1317</v>
      </c>
      <c r="B583" s="2" t="s">
        <v>1318</v>
      </c>
      <c r="C583" s="2" t="s">
        <v>91</v>
      </c>
      <c r="D583" s="2" t="s">
        <v>52</v>
      </c>
      <c r="E583" s="2" t="s">
        <v>4128</v>
      </c>
      <c r="F583" s="5"/>
      <c r="G583" s="4">
        <v>0</v>
      </c>
      <c r="H583" s="4"/>
      <c r="I583" s="2" t="s">
        <v>43</v>
      </c>
      <c r="J583" s="2">
        <v>540</v>
      </c>
      <c r="K583" s="2">
        <v>1.5</v>
      </c>
      <c r="L583" s="2">
        <v>600</v>
      </c>
      <c r="M583" s="2">
        <v>210</v>
      </c>
    </row>
    <row r="584" spans="1:13" x14ac:dyDescent="0.2">
      <c r="A584" s="2" t="s">
        <v>3640</v>
      </c>
      <c r="B584" s="2" t="s">
        <v>3641</v>
      </c>
      <c r="C584" s="2" t="s">
        <v>592</v>
      </c>
      <c r="D584" s="2" t="s">
        <v>52</v>
      </c>
      <c r="E584" s="2" t="s">
        <v>4128</v>
      </c>
      <c r="F584" s="5"/>
      <c r="G584" s="4">
        <v>0</v>
      </c>
      <c r="H584" s="4"/>
      <c r="I584" s="2" t="s">
        <v>43</v>
      </c>
      <c r="J584" s="2">
        <v>540</v>
      </c>
      <c r="K584" s="2">
        <v>1.5</v>
      </c>
      <c r="L584" s="2">
        <v>0</v>
      </c>
      <c r="M584" s="2">
        <v>810</v>
      </c>
    </row>
    <row r="585" spans="1:13" x14ac:dyDescent="0.2">
      <c r="A585" s="2" t="s">
        <v>3642</v>
      </c>
      <c r="B585" s="2" t="s">
        <v>3643</v>
      </c>
      <c r="C585" s="2" t="s">
        <v>4125</v>
      </c>
      <c r="D585" s="2" t="s">
        <v>52</v>
      </c>
      <c r="E585" s="2" t="s">
        <v>4128</v>
      </c>
      <c r="F585" s="5"/>
      <c r="G585" s="4">
        <v>0</v>
      </c>
      <c r="H585" s="4"/>
      <c r="I585" s="2" t="s">
        <v>43</v>
      </c>
      <c r="J585" s="2">
        <v>540</v>
      </c>
      <c r="K585" s="2">
        <v>1.5</v>
      </c>
      <c r="L585" s="2">
        <v>0</v>
      </c>
      <c r="M585" s="2">
        <v>810</v>
      </c>
    </row>
    <row r="586" spans="1:13" x14ac:dyDescent="0.2">
      <c r="A586" s="2" t="s">
        <v>299</v>
      </c>
      <c r="B586" s="2" t="s">
        <v>300</v>
      </c>
      <c r="C586" s="2" t="s">
        <v>94</v>
      </c>
      <c r="D586" s="2" t="s">
        <v>52</v>
      </c>
      <c r="E586" s="2" t="s">
        <v>4128</v>
      </c>
      <c r="F586" s="5"/>
      <c r="G586" s="4">
        <v>0</v>
      </c>
      <c r="H586" s="4"/>
      <c r="I586" s="2" t="s">
        <v>43</v>
      </c>
      <c r="J586" s="2">
        <v>540</v>
      </c>
      <c r="K586" s="2">
        <v>1.5</v>
      </c>
      <c r="L586" s="2">
        <v>345</v>
      </c>
      <c r="M586" s="2">
        <v>465</v>
      </c>
    </row>
    <row r="587" spans="1:13" x14ac:dyDescent="0.2">
      <c r="A587" s="2" t="s">
        <v>387</v>
      </c>
      <c r="B587" s="2" t="s">
        <v>388</v>
      </c>
      <c r="C587" s="2" t="s">
        <v>7</v>
      </c>
      <c r="D587" s="2" t="s">
        <v>52</v>
      </c>
      <c r="E587" s="2" t="s">
        <v>4128</v>
      </c>
      <c r="F587" s="5"/>
      <c r="G587" s="4">
        <v>0</v>
      </c>
      <c r="H587" s="4"/>
      <c r="I587" s="2" t="s">
        <v>43</v>
      </c>
      <c r="J587" s="2">
        <v>540</v>
      </c>
      <c r="K587" s="2">
        <v>1.5</v>
      </c>
      <c r="L587" s="2">
        <v>810</v>
      </c>
      <c r="M587" s="2">
        <v>0</v>
      </c>
    </row>
    <row r="588" spans="1:13" x14ac:dyDescent="0.2">
      <c r="A588" s="2" t="s">
        <v>1189</v>
      </c>
      <c r="B588" s="2" t="s">
        <v>1190</v>
      </c>
      <c r="C588" s="2" t="s">
        <v>7</v>
      </c>
      <c r="D588" s="2" t="s">
        <v>52</v>
      </c>
      <c r="E588" s="2" t="s">
        <v>4128</v>
      </c>
      <c r="F588" s="5"/>
      <c r="G588" s="4">
        <v>0</v>
      </c>
      <c r="H588" s="4"/>
      <c r="I588" s="2" t="s">
        <v>43</v>
      </c>
      <c r="J588" s="2">
        <v>540</v>
      </c>
      <c r="K588" s="2">
        <v>1.5</v>
      </c>
      <c r="L588" s="2">
        <v>345</v>
      </c>
      <c r="M588" s="2">
        <v>465</v>
      </c>
    </row>
    <row r="589" spans="1:13" x14ac:dyDescent="0.2">
      <c r="A589" s="2" t="s">
        <v>3644</v>
      </c>
      <c r="B589" s="2" t="s">
        <v>3645</v>
      </c>
      <c r="C589" s="2" t="s">
        <v>4126</v>
      </c>
      <c r="D589" s="2" t="s">
        <v>52</v>
      </c>
      <c r="E589" s="2" t="s">
        <v>4128</v>
      </c>
      <c r="F589" s="5"/>
      <c r="G589" s="4">
        <v>0</v>
      </c>
      <c r="H589" s="4"/>
      <c r="I589" s="2" t="s">
        <v>43</v>
      </c>
      <c r="J589" s="2">
        <v>540</v>
      </c>
      <c r="K589" s="2">
        <v>1.5</v>
      </c>
      <c r="L589" s="2">
        <v>0</v>
      </c>
      <c r="M589" s="2">
        <v>810</v>
      </c>
    </row>
    <row r="590" spans="1:13" x14ac:dyDescent="0.2">
      <c r="A590" s="2" t="s">
        <v>3646</v>
      </c>
      <c r="B590" s="2" t="s">
        <v>3647</v>
      </c>
      <c r="C590" s="2" t="s">
        <v>4125</v>
      </c>
      <c r="D590" s="2" t="s">
        <v>52</v>
      </c>
      <c r="E590" s="2" t="s">
        <v>4128</v>
      </c>
      <c r="F590" s="5"/>
      <c r="G590" s="4">
        <v>0</v>
      </c>
      <c r="H590" s="4"/>
      <c r="I590" s="2" t="s">
        <v>43</v>
      </c>
      <c r="J590" s="2">
        <v>540</v>
      </c>
      <c r="K590" s="2">
        <v>1.5</v>
      </c>
      <c r="L590" s="2">
        <v>0</v>
      </c>
      <c r="M590" s="2">
        <v>810</v>
      </c>
    </row>
    <row r="591" spans="1:13" x14ac:dyDescent="0.2">
      <c r="A591" s="2" t="s">
        <v>1273</v>
      </c>
      <c r="B591" s="2" t="s">
        <v>1274</v>
      </c>
      <c r="C591" s="2" t="s">
        <v>1366</v>
      </c>
      <c r="D591" s="2" t="s">
        <v>52</v>
      </c>
      <c r="E591" s="2" t="s">
        <v>4128</v>
      </c>
      <c r="F591" s="5"/>
      <c r="G591" s="4">
        <v>0</v>
      </c>
      <c r="H591" s="4"/>
      <c r="I591" s="2" t="s">
        <v>4092</v>
      </c>
      <c r="J591" s="2">
        <v>540</v>
      </c>
      <c r="K591" s="2">
        <v>1.5</v>
      </c>
      <c r="L591" s="2">
        <v>600</v>
      </c>
      <c r="M591" s="2">
        <v>210</v>
      </c>
    </row>
    <row r="592" spans="1:13" x14ac:dyDescent="0.2">
      <c r="A592" s="2" t="s">
        <v>179</v>
      </c>
      <c r="B592" s="2" t="s">
        <v>180</v>
      </c>
      <c r="C592" s="2" t="s">
        <v>66</v>
      </c>
      <c r="D592" s="2" t="s">
        <v>52</v>
      </c>
      <c r="E592" s="2" t="s">
        <v>4128</v>
      </c>
      <c r="F592" s="5"/>
      <c r="G592" s="4">
        <v>0</v>
      </c>
      <c r="H592" s="4"/>
      <c r="I592" s="2" t="s">
        <v>100</v>
      </c>
      <c r="J592" s="2">
        <v>140</v>
      </c>
      <c r="K592" s="2">
        <v>1.5</v>
      </c>
      <c r="L592" s="2">
        <v>210</v>
      </c>
      <c r="M592" s="2">
        <v>0</v>
      </c>
    </row>
    <row r="593" spans="1:13" x14ac:dyDescent="0.2">
      <c r="A593" s="2" t="s">
        <v>1175</v>
      </c>
      <c r="B593" s="2" t="s">
        <v>1176</v>
      </c>
      <c r="C593" s="2" t="s">
        <v>91</v>
      </c>
      <c r="D593" s="2" t="s">
        <v>52</v>
      </c>
      <c r="E593" s="2" t="s">
        <v>4128</v>
      </c>
      <c r="F593" s="5"/>
      <c r="G593" s="4">
        <v>0</v>
      </c>
      <c r="H593" s="4"/>
      <c r="I593" s="2" t="s">
        <v>100</v>
      </c>
      <c r="J593" s="2">
        <v>140</v>
      </c>
      <c r="K593" s="2">
        <v>1.5</v>
      </c>
      <c r="L593" s="2">
        <v>345</v>
      </c>
      <c r="M593" s="2">
        <v>0</v>
      </c>
    </row>
    <row r="594" spans="1:13" x14ac:dyDescent="0.2">
      <c r="A594" s="2" t="s">
        <v>3648</v>
      </c>
      <c r="B594" s="2" t="s">
        <v>3649</v>
      </c>
      <c r="C594" s="2" t="s">
        <v>592</v>
      </c>
      <c r="D594" s="2" t="s">
        <v>52</v>
      </c>
      <c r="E594" s="2" t="s">
        <v>4128</v>
      </c>
      <c r="F594" s="5"/>
      <c r="G594" s="4">
        <v>0</v>
      </c>
      <c r="H594" s="4"/>
      <c r="I594" s="2" t="s">
        <v>100</v>
      </c>
      <c r="J594" s="2">
        <v>140</v>
      </c>
      <c r="K594" s="2">
        <v>1.5</v>
      </c>
      <c r="L594" s="2">
        <v>0</v>
      </c>
      <c r="M594" s="2">
        <v>210</v>
      </c>
    </row>
    <row r="595" spans="1:13" x14ac:dyDescent="0.2">
      <c r="A595" s="2" t="s">
        <v>273</v>
      </c>
      <c r="B595" s="2" t="s">
        <v>274</v>
      </c>
      <c r="C595" s="2" t="s">
        <v>19</v>
      </c>
      <c r="D595" s="2" t="s">
        <v>52</v>
      </c>
      <c r="E595" s="2" t="s">
        <v>4128</v>
      </c>
      <c r="F595" s="5"/>
      <c r="G595" s="4">
        <v>0</v>
      </c>
      <c r="H595" s="4"/>
      <c r="I595" s="2" t="s">
        <v>100</v>
      </c>
      <c r="J595" s="2">
        <v>140</v>
      </c>
      <c r="K595" s="2">
        <v>1.5</v>
      </c>
      <c r="L595" s="2">
        <v>210</v>
      </c>
      <c r="M595" s="2">
        <v>0</v>
      </c>
    </row>
    <row r="596" spans="1:13" x14ac:dyDescent="0.2">
      <c r="A596" s="2" t="s">
        <v>3650</v>
      </c>
      <c r="B596" s="2" t="s">
        <v>3651</v>
      </c>
      <c r="C596" s="2" t="s">
        <v>91</v>
      </c>
      <c r="D596" s="2" t="s">
        <v>52</v>
      </c>
      <c r="E596" s="2" t="s">
        <v>4128</v>
      </c>
      <c r="F596" s="5"/>
      <c r="G596" s="4">
        <v>0</v>
      </c>
      <c r="H596" s="4"/>
      <c r="I596" s="2" t="s">
        <v>101</v>
      </c>
      <c r="J596" s="2">
        <v>140</v>
      </c>
      <c r="K596" s="2">
        <v>1.5</v>
      </c>
      <c r="L596" s="2">
        <v>0</v>
      </c>
      <c r="M596" s="2">
        <v>210</v>
      </c>
    </row>
    <row r="597" spans="1:13" x14ac:dyDescent="0.2">
      <c r="A597" s="2" t="s">
        <v>1209</v>
      </c>
      <c r="B597" s="2" t="s">
        <v>1210</v>
      </c>
      <c r="C597" s="2" t="s">
        <v>91</v>
      </c>
      <c r="D597" s="2" t="s">
        <v>52</v>
      </c>
      <c r="E597" s="2" t="s">
        <v>4128</v>
      </c>
      <c r="F597" s="5"/>
      <c r="G597" s="4">
        <v>0</v>
      </c>
      <c r="H597" s="4"/>
      <c r="I597" s="2" t="s">
        <v>102</v>
      </c>
      <c r="J597" s="2">
        <v>230</v>
      </c>
      <c r="K597" s="2">
        <v>1.5</v>
      </c>
      <c r="L597" s="2">
        <v>600</v>
      </c>
      <c r="M597" s="2">
        <v>0</v>
      </c>
    </row>
    <row r="598" spans="1:13" x14ac:dyDescent="0.2">
      <c r="A598" s="2" t="s">
        <v>4032</v>
      </c>
      <c r="B598" s="2" t="s">
        <v>4033</v>
      </c>
      <c r="C598" s="2" t="s">
        <v>4126</v>
      </c>
      <c r="D598" s="2" t="s">
        <v>52</v>
      </c>
      <c r="E598" s="2" t="s">
        <v>4128</v>
      </c>
      <c r="F598" s="5"/>
      <c r="G598" s="4">
        <v>0</v>
      </c>
      <c r="H598" s="4"/>
      <c r="I598" s="2" t="s">
        <v>596</v>
      </c>
      <c r="J598" s="2">
        <v>230</v>
      </c>
      <c r="K598" s="2">
        <v>1.5</v>
      </c>
      <c r="L598" s="2">
        <v>0</v>
      </c>
      <c r="M598" s="2">
        <v>345</v>
      </c>
    </row>
    <row r="599" spans="1:13" x14ac:dyDescent="0.2">
      <c r="A599" s="2" t="s">
        <v>3652</v>
      </c>
      <c r="B599" s="2" t="s">
        <v>3653</v>
      </c>
      <c r="C599" s="2" t="s">
        <v>94</v>
      </c>
      <c r="D599" s="2" t="s">
        <v>52</v>
      </c>
      <c r="E599" s="2" t="s">
        <v>4128</v>
      </c>
      <c r="F599" s="5"/>
      <c r="G599" s="4">
        <v>0</v>
      </c>
      <c r="H599" s="4"/>
      <c r="I599" s="2" t="s">
        <v>1370</v>
      </c>
      <c r="J599" s="2">
        <v>230</v>
      </c>
      <c r="K599" s="2">
        <v>1.5</v>
      </c>
      <c r="L599" s="2">
        <v>0</v>
      </c>
      <c r="M599" s="2">
        <v>345</v>
      </c>
    </row>
    <row r="600" spans="1:13" x14ac:dyDescent="0.2">
      <c r="A600" s="2" t="s">
        <v>395</v>
      </c>
      <c r="B600" s="2" t="s">
        <v>396</v>
      </c>
      <c r="C600" s="2" t="s">
        <v>19</v>
      </c>
      <c r="D600" s="2" t="s">
        <v>52</v>
      </c>
      <c r="E600" s="2" t="s">
        <v>4128</v>
      </c>
      <c r="F600" s="5"/>
      <c r="G600" s="4">
        <v>0</v>
      </c>
      <c r="H600" s="4"/>
      <c r="I600" s="2" t="s">
        <v>4093</v>
      </c>
      <c r="J600" s="2">
        <v>400</v>
      </c>
      <c r="K600" s="2">
        <v>1.5</v>
      </c>
      <c r="L600" s="2">
        <v>810</v>
      </c>
      <c r="M600" s="2">
        <v>0</v>
      </c>
    </row>
    <row r="601" spans="1:13" x14ac:dyDescent="0.2">
      <c r="A601" s="2" t="s">
        <v>1003</v>
      </c>
      <c r="B601" s="2" t="s">
        <v>1004</v>
      </c>
      <c r="C601" s="2" t="s">
        <v>91</v>
      </c>
      <c r="D601" s="2" t="s">
        <v>52</v>
      </c>
      <c r="E601" s="2" t="s">
        <v>4128</v>
      </c>
      <c r="F601" s="5"/>
      <c r="G601" s="4">
        <v>0</v>
      </c>
      <c r="H601" s="4"/>
      <c r="I601" s="2" t="s">
        <v>30</v>
      </c>
      <c r="J601" s="2">
        <v>230</v>
      </c>
      <c r="K601" s="2">
        <v>1.5</v>
      </c>
      <c r="L601" s="2">
        <v>210</v>
      </c>
      <c r="M601" s="2">
        <v>135</v>
      </c>
    </row>
    <row r="602" spans="1:13" x14ac:dyDescent="0.2">
      <c r="A602" s="2" t="s">
        <v>4034</v>
      </c>
      <c r="B602" s="2" t="s">
        <v>4035</v>
      </c>
      <c r="C602" s="2" t="s">
        <v>4125</v>
      </c>
      <c r="D602" s="2" t="s">
        <v>52</v>
      </c>
      <c r="E602" s="2" t="s">
        <v>4128</v>
      </c>
      <c r="F602" s="5"/>
      <c r="G602" s="4">
        <v>0</v>
      </c>
      <c r="H602" s="4"/>
      <c r="I602" s="2" t="s">
        <v>30</v>
      </c>
      <c r="J602" s="2">
        <v>230</v>
      </c>
      <c r="K602" s="2">
        <v>1.5</v>
      </c>
      <c r="L602" s="2">
        <v>0</v>
      </c>
      <c r="M602" s="2">
        <v>345</v>
      </c>
    </row>
    <row r="603" spans="1:13" x14ac:dyDescent="0.2">
      <c r="A603" s="2" t="s">
        <v>1227</v>
      </c>
      <c r="B603" s="2" t="s">
        <v>1228</v>
      </c>
      <c r="C603" s="2" t="s">
        <v>54</v>
      </c>
      <c r="D603" s="2" t="s">
        <v>52</v>
      </c>
      <c r="E603" s="2" t="s">
        <v>4128</v>
      </c>
      <c r="F603" s="5"/>
      <c r="G603" s="4">
        <v>0</v>
      </c>
      <c r="H603" s="4"/>
      <c r="I603" s="2" t="s">
        <v>30</v>
      </c>
      <c r="J603" s="2">
        <v>230</v>
      </c>
      <c r="K603" s="2">
        <v>1.5</v>
      </c>
      <c r="L603" s="2">
        <v>345</v>
      </c>
      <c r="M603" s="2">
        <v>0</v>
      </c>
    </row>
    <row r="604" spans="1:13" x14ac:dyDescent="0.2">
      <c r="A604" s="2" t="s">
        <v>635</v>
      </c>
      <c r="B604" s="2" t="s">
        <v>636</v>
      </c>
      <c r="C604" s="2" t="s">
        <v>91</v>
      </c>
      <c r="D604" s="2" t="s">
        <v>52</v>
      </c>
      <c r="E604" s="2" t="s">
        <v>4128</v>
      </c>
      <c r="F604" s="5"/>
      <c r="G604" s="4">
        <v>0</v>
      </c>
      <c r="H604" s="4"/>
      <c r="I604" s="2" t="s">
        <v>30</v>
      </c>
      <c r="J604" s="2">
        <v>230</v>
      </c>
      <c r="K604" s="2">
        <v>1.5</v>
      </c>
      <c r="L604" s="2">
        <v>0</v>
      </c>
      <c r="M604" s="2">
        <v>345</v>
      </c>
    </row>
    <row r="605" spans="1:13" x14ac:dyDescent="0.2">
      <c r="A605" s="2" t="s">
        <v>127</v>
      </c>
      <c r="B605" s="2" t="s">
        <v>128</v>
      </c>
      <c r="C605" s="2" t="s">
        <v>7</v>
      </c>
      <c r="D605" s="2" t="s">
        <v>52</v>
      </c>
      <c r="E605" s="2" t="s">
        <v>4128</v>
      </c>
      <c r="F605" s="5"/>
      <c r="G605" s="4">
        <v>0</v>
      </c>
      <c r="H605" s="4"/>
      <c r="I605" s="2" t="s">
        <v>30</v>
      </c>
      <c r="J605" s="2">
        <v>230</v>
      </c>
      <c r="K605" s="2">
        <v>1.5</v>
      </c>
      <c r="L605" s="2">
        <v>345</v>
      </c>
      <c r="M605" s="2">
        <v>0</v>
      </c>
    </row>
    <row r="606" spans="1:13" x14ac:dyDescent="0.2">
      <c r="A606" s="2" t="s">
        <v>1229</v>
      </c>
      <c r="B606" s="2" t="s">
        <v>1230</v>
      </c>
      <c r="C606" s="2" t="s">
        <v>1366</v>
      </c>
      <c r="D606" s="2" t="s">
        <v>52</v>
      </c>
      <c r="E606" s="2" t="s">
        <v>4128</v>
      </c>
      <c r="F606" s="5"/>
      <c r="G606" s="4">
        <v>0</v>
      </c>
      <c r="H606" s="4"/>
      <c r="I606" s="2" t="s">
        <v>30</v>
      </c>
      <c r="J606" s="2">
        <v>230</v>
      </c>
      <c r="K606" s="2">
        <v>1.5</v>
      </c>
      <c r="L606" s="2">
        <v>345</v>
      </c>
      <c r="M606" s="2">
        <v>0</v>
      </c>
    </row>
    <row r="607" spans="1:13" x14ac:dyDescent="0.2">
      <c r="A607" s="2" t="s">
        <v>3654</v>
      </c>
      <c r="B607" s="2" t="s">
        <v>3655</v>
      </c>
      <c r="C607" s="2" t="s">
        <v>1366</v>
      </c>
      <c r="D607" s="2" t="s">
        <v>52</v>
      </c>
      <c r="E607" s="2" t="s">
        <v>4128</v>
      </c>
      <c r="F607" s="5"/>
      <c r="G607" s="4">
        <v>0</v>
      </c>
      <c r="H607" s="4"/>
      <c r="I607" s="2" t="s">
        <v>30</v>
      </c>
      <c r="J607" s="2">
        <v>230</v>
      </c>
      <c r="K607" s="2">
        <v>1.5</v>
      </c>
      <c r="L607" s="2">
        <v>0</v>
      </c>
      <c r="M607" s="2">
        <v>345</v>
      </c>
    </row>
    <row r="608" spans="1:13" x14ac:dyDescent="0.2">
      <c r="A608" s="2" t="s">
        <v>671</v>
      </c>
      <c r="B608" s="2" t="s">
        <v>672</v>
      </c>
      <c r="C608" s="2" t="s">
        <v>1366</v>
      </c>
      <c r="D608" s="2" t="s">
        <v>52</v>
      </c>
      <c r="E608" s="2" t="s">
        <v>4128</v>
      </c>
      <c r="F608" s="5">
        <v>45938</v>
      </c>
      <c r="G608" s="4">
        <v>5</v>
      </c>
      <c r="H608" s="4"/>
      <c r="I608" s="2" t="s">
        <v>30</v>
      </c>
      <c r="J608" s="2">
        <v>230</v>
      </c>
      <c r="K608" s="2">
        <v>1.5</v>
      </c>
      <c r="L608" s="2">
        <v>0</v>
      </c>
      <c r="M608" s="2">
        <v>345</v>
      </c>
    </row>
    <row r="609" spans="1:13" x14ac:dyDescent="0.2">
      <c r="A609" s="2" t="s">
        <v>1023</v>
      </c>
      <c r="B609" s="2" t="s">
        <v>1024</v>
      </c>
      <c r="C609" s="2" t="s">
        <v>66</v>
      </c>
      <c r="D609" s="2" t="s">
        <v>52</v>
      </c>
      <c r="E609" s="2" t="s">
        <v>4128</v>
      </c>
      <c r="F609" s="5"/>
      <c r="G609" s="4">
        <v>0</v>
      </c>
      <c r="H609" s="4"/>
      <c r="I609" s="2" t="s">
        <v>30</v>
      </c>
      <c r="J609" s="2">
        <v>230</v>
      </c>
      <c r="K609" s="2">
        <v>1.5</v>
      </c>
      <c r="L609" s="2">
        <v>210</v>
      </c>
      <c r="M609" s="2">
        <v>135</v>
      </c>
    </row>
    <row r="610" spans="1:13" x14ac:dyDescent="0.2">
      <c r="A610" s="2" t="s">
        <v>1037</v>
      </c>
      <c r="B610" s="2" t="s">
        <v>1038</v>
      </c>
      <c r="C610" s="2" t="s">
        <v>91</v>
      </c>
      <c r="D610" s="2" t="s">
        <v>52</v>
      </c>
      <c r="E610" s="2" t="s">
        <v>4128</v>
      </c>
      <c r="F610" s="5"/>
      <c r="G610" s="4">
        <v>0</v>
      </c>
      <c r="H610" s="4"/>
      <c r="I610" s="2" t="s">
        <v>30</v>
      </c>
      <c r="J610" s="2">
        <v>230</v>
      </c>
      <c r="K610" s="2">
        <v>1.5</v>
      </c>
      <c r="L610" s="2">
        <v>210</v>
      </c>
      <c r="M610" s="2">
        <v>135</v>
      </c>
    </row>
    <row r="611" spans="1:13" x14ac:dyDescent="0.2">
      <c r="A611" s="2" t="s">
        <v>3656</v>
      </c>
      <c r="B611" s="2" t="s">
        <v>3657</v>
      </c>
      <c r="C611" s="2" t="s">
        <v>592</v>
      </c>
      <c r="D611" s="2" t="s">
        <v>52</v>
      </c>
      <c r="E611" s="2" t="s">
        <v>4128</v>
      </c>
      <c r="F611" s="5"/>
      <c r="G611" s="4">
        <v>0</v>
      </c>
      <c r="H611" s="4"/>
      <c r="I611" s="2" t="s">
        <v>30</v>
      </c>
      <c r="J611" s="2">
        <v>230</v>
      </c>
      <c r="K611" s="2">
        <v>1.5</v>
      </c>
      <c r="L611" s="2">
        <v>0</v>
      </c>
      <c r="M611" s="2">
        <v>345</v>
      </c>
    </row>
    <row r="612" spans="1:13" x14ac:dyDescent="0.2">
      <c r="A612" s="2" t="s">
        <v>715</v>
      </c>
      <c r="B612" s="2" t="s">
        <v>716</v>
      </c>
      <c r="C612" s="2" t="s">
        <v>4125</v>
      </c>
      <c r="D612" s="2" t="s">
        <v>52</v>
      </c>
      <c r="E612" s="2" t="s">
        <v>4128</v>
      </c>
      <c r="F612" s="5"/>
      <c r="G612" s="4">
        <v>0</v>
      </c>
      <c r="H612" s="4"/>
      <c r="I612" s="2" t="s">
        <v>30</v>
      </c>
      <c r="J612" s="2">
        <v>230</v>
      </c>
      <c r="K612" s="2">
        <v>1.5</v>
      </c>
      <c r="L612" s="2">
        <v>0</v>
      </c>
      <c r="M612" s="2">
        <v>345</v>
      </c>
    </row>
    <row r="613" spans="1:13" x14ac:dyDescent="0.2">
      <c r="A613" s="2" t="s">
        <v>3658</v>
      </c>
      <c r="B613" s="2" t="s">
        <v>3659</v>
      </c>
      <c r="C613" s="2" t="s">
        <v>592</v>
      </c>
      <c r="D613" s="2" t="s">
        <v>52</v>
      </c>
      <c r="E613" s="2" t="s">
        <v>4128</v>
      </c>
      <c r="F613" s="5"/>
      <c r="G613" s="4">
        <v>0</v>
      </c>
      <c r="H613" s="4"/>
      <c r="I613" s="2" t="s">
        <v>30</v>
      </c>
      <c r="J613" s="2">
        <v>230</v>
      </c>
      <c r="K613" s="2">
        <v>1.5</v>
      </c>
      <c r="L613" s="2">
        <v>0</v>
      </c>
      <c r="M613" s="2">
        <v>345</v>
      </c>
    </row>
    <row r="614" spans="1:13" x14ac:dyDescent="0.2">
      <c r="A614" s="2" t="s">
        <v>1059</v>
      </c>
      <c r="B614" s="2" t="s">
        <v>1060</v>
      </c>
      <c r="C614" s="2" t="s">
        <v>1366</v>
      </c>
      <c r="D614" s="2" t="s">
        <v>52</v>
      </c>
      <c r="E614" s="2" t="s">
        <v>4128</v>
      </c>
      <c r="F614" s="5"/>
      <c r="G614" s="4">
        <v>0</v>
      </c>
      <c r="H614" s="4"/>
      <c r="I614" s="2" t="s">
        <v>30</v>
      </c>
      <c r="J614" s="2">
        <v>230</v>
      </c>
      <c r="K614" s="2">
        <v>1.5</v>
      </c>
      <c r="L614" s="2">
        <v>210</v>
      </c>
      <c r="M614" s="2">
        <v>135</v>
      </c>
    </row>
    <row r="615" spans="1:13" x14ac:dyDescent="0.2">
      <c r="A615" s="2" t="s">
        <v>1051</v>
      </c>
      <c r="B615" s="2" t="s">
        <v>1052</v>
      </c>
      <c r="C615" s="2" t="s">
        <v>19</v>
      </c>
      <c r="D615" s="2" t="s">
        <v>52</v>
      </c>
      <c r="E615" s="2" t="s">
        <v>4128</v>
      </c>
      <c r="F615" s="5"/>
      <c r="G615" s="4">
        <v>0</v>
      </c>
      <c r="H615" s="4"/>
      <c r="I615" s="2" t="s">
        <v>30</v>
      </c>
      <c r="J615" s="2">
        <v>230</v>
      </c>
      <c r="K615" s="2">
        <v>1.5</v>
      </c>
      <c r="L615" s="2">
        <v>210</v>
      </c>
      <c r="M615" s="2">
        <v>135</v>
      </c>
    </row>
    <row r="616" spans="1:13" x14ac:dyDescent="0.2">
      <c r="A616" s="2" t="s">
        <v>175</v>
      </c>
      <c r="B616" s="2" t="s">
        <v>176</v>
      </c>
      <c r="C616" s="2" t="s">
        <v>19</v>
      </c>
      <c r="D616" s="2" t="s">
        <v>52</v>
      </c>
      <c r="E616" s="2" t="s">
        <v>4128</v>
      </c>
      <c r="F616" s="5">
        <v>45932</v>
      </c>
      <c r="G616" s="4">
        <v>0</v>
      </c>
      <c r="H616" s="4"/>
      <c r="I616" s="2" t="s">
        <v>30</v>
      </c>
      <c r="J616" s="2">
        <v>230</v>
      </c>
      <c r="K616" s="2">
        <v>1.5</v>
      </c>
      <c r="L616" s="2">
        <v>600</v>
      </c>
      <c r="M616" s="2">
        <v>0</v>
      </c>
    </row>
    <row r="617" spans="1:13" x14ac:dyDescent="0.2">
      <c r="A617" s="2" t="s">
        <v>1149</v>
      </c>
      <c r="B617" s="2" t="s">
        <v>1150</v>
      </c>
      <c r="C617" s="2" t="s">
        <v>66</v>
      </c>
      <c r="D617" s="2" t="s">
        <v>52</v>
      </c>
      <c r="E617" s="2" t="s">
        <v>4128</v>
      </c>
      <c r="F617" s="5"/>
      <c r="G617" s="4">
        <v>0</v>
      </c>
      <c r="H617" s="4"/>
      <c r="I617" s="2" t="s">
        <v>30</v>
      </c>
      <c r="J617" s="2">
        <v>230</v>
      </c>
      <c r="K617" s="2">
        <v>1.5</v>
      </c>
      <c r="L617" s="2">
        <v>210</v>
      </c>
      <c r="M617" s="2">
        <v>135</v>
      </c>
    </row>
    <row r="618" spans="1:13" x14ac:dyDescent="0.2">
      <c r="A618" s="2" t="s">
        <v>1073</v>
      </c>
      <c r="B618" s="2" t="s">
        <v>1074</v>
      </c>
      <c r="C618" s="2" t="s">
        <v>94</v>
      </c>
      <c r="D618" s="2" t="s">
        <v>52</v>
      </c>
      <c r="E618" s="2" t="s">
        <v>4128</v>
      </c>
      <c r="F618" s="5"/>
      <c r="G618" s="4">
        <v>0</v>
      </c>
      <c r="H618" s="4"/>
      <c r="I618" s="2" t="s">
        <v>30</v>
      </c>
      <c r="J618" s="2">
        <v>230</v>
      </c>
      <c r="K618" s="2">
        <v>1.5</v>
      </c>
      <c r="L618" s="2">
        <v>210</v>
      </c>
      <c r="M618" s="2">
        <v>135</v>
      </c>
    </row>
    <row r="619" spans="1:13" x14ac:dyDescent="0.2">
      <c r="A619" s="2" t="s">
        <v>775</v>
      </c>
      <c r="B619" s="2" t="s">
        <v>776</v>
      </c>
      <c r="C619" s="2" t="s">
        <v>54</v>
      </c>
      <c r="D619" s="2" t="s">
        <v>52</v>
      </c>
      <c r="E619" s="2" t="s">
        <v>4128</v>
      </c>
      <c r="F619" s="5"/>
      <c r="G619" s="4">
        <v>0</v>
      </c>
      <c r="H619" s="4"/>
      <c r="I619" s="2" t="s">
        <v>30</v>
      </c>
      <c r="J619" s="2">
        <v>230</v>
      </c>
      <c r="K619" s="2">
        <v>1.5</v>
      </c>
      <c r="L619" s="2">
        <v>0</v>
      </c>
      <c r="M619" s="2">
        <v>345</v>
      </c>
    </row>
    <row r="620" spans="1:13" x14ac:dyDescent="0.2">
      <c r="A620" s="2" t="s">
        <v>745</v>
      </c>
      <c r="B620" s="2" t="s">
        <v>746</v>
      </c>
      <c r="C620" s="2" t="s">
        <v>592</v>
      </c>
      <c r="D620" s="2" t="s">
        <v>52</v>
      </c>
      <c r="E620" s="2" t="s">
        <v>4128</v>
      </c>
      <c r="F620" s="5"/>
      <c r="G620" s="4">
        <v>0</v>
      </c>
      <c r="H620" s="4"/>
      <c r="I620" s="2" t="s">
        <v>30</v>
      </c>
      <c r="J620" s="2">
        <v>230</v>
      </c>
      <c r="K620" s="2">
        <v>1.5</v>
      </c>
      <c r="L620" s="2">
        <v>0</v>
      </c>
      <c r="M620" s="2">
        <v>345</v>
      </c>
    </row>
    <row r="621" spans="1:13" x14ac:dyDescent="0.2">
      <c r="A621" s="2" t="s">
        <v>3660</v>
      </c>
      <c r="B621" s="2" t="s">
        <v>3661</v>
      </c>
      <c r="C621" s="2" t="s">
        <v>94</v>
      </c>
      <c r="D621" s="2" t="s">
        <v>52</v>
      </c>
      <c r="E621" s="2" t="s">
        <v>4128</v>
      </c>
      <c r="F621" s="5"/>
      <c r="G621" s="4">
        <v>3124.22</v>
      </c>
      <c r="H621" s="4"/>
      <c r="I621" s="2" t="s">
        <v>30</v>
      </c>
      <c r="J621" s="2">
        <v>230</v>
      </c>
      <c r="K621" s="2">
        <v>1.5</v>
      </c>
      <c r="L621" s="2">
        <v>0</v>
      </c>
      <c r="M621" s="2">
        <v>345</v>
      </c>
    </row>
    <row r="622" spans="1:13" x14ac:dyDescent="0.2">
      <c r="A622" s="2" t="s">
        <v>795</v>
      </c>
      <c r="B622" s="2" t="s">
        <v>796</v>
      </c>
      <c r="C622" s="2" t="s">
        <v>592</v>
      </c>
      <c r="D622" s="2" t="s">
        <v>52</v>
      </c>
      <c r="E622" s="2" t="s">
        <v>4128</v>
      </c>
      <c r="F622" s="5"/>
      <c r="G622" s="4">
        <v>0</v>
      </c>
      <c r="H622" s="4"/>
      <c r="I622" s="2" t="s">
        <v>30</v>
      </c>
      <c r="J622" s="2">
        <v>230</v>
      </c>
      <c r="K622" s="2">
        <v>1.5</v>
      </c>
      <c r="L622" s="2">
        <v>0</v>
      </c>
      <c r="M622" s="2">
        <v>345</v>
      </c>
    </row>
    <row r="623" spans="1:13" x14ac:dyDescent="0.2">
      <c r="A623" s="2" t="s">
        <v>201</v>
      </c>
      <c r="B623" s="2" t="s">
        <v>202</v>
      </c>
      <c r="C623" s="2" t="s">
        <v>1366</v>
      </c>
      <c r="D623" s="2" t="s">
        <v>52</v>
      </c>
      <c r="E623" s="2" t="s">
        <v>4128</v>
      </c>
      <c r="F623" s="5">
        <v>45916</v>
      </c>
      <c r="G623" s="4">
        <v>7749.51</v>
      </c>
      <c r="H623" s="4"/>
      <c r="I623" s="2" t="s">
        <v>30</v>
      </c>
      <c r="J623" s="2">
        <v>230</v>
      </c>
      <c r="K623" s="2">
        <v>1.5</v>
      </c>
      <c r="L623" s="2">
        <v>210</v>
      </c>
      <c r="M623" s="2">
        <v>135</v>
      </c>
    </row>
    <row r="624" spans="1:13" x14ac:dyDescent="0.2">
      <c r="A624" s="2" t="s">
        <v>207</v>
      </c>
      <c r="B624" s="2" t="s">
        <v>208</v>
      </c>
      <c r="C624" s="2" t="s">
        <v>54</v>
      </c>
      <c r="D624" s="2" t="s">
        <v>52</v>
      </c>
      <c r="E624" s="2" t="s">
        <v>4128</v>
      </c>
      <c r="F624" s="5"/>
      <c r="G624" s="4">
        <v>0</v>
      </c>
      <c r="H624" s="4"/>
      <c r="I624" s="2" t="s">
        <v>30</v>
      </c>
      <c r="J624" s="2">
        <v>230</v>
      </c>
      <c r="K624" s="2">
        <v>1.5</v>
      </c>
      <c r="L624" s="2">
        <v>210</v>
      </c>
      <c r="M624" s="2">
        <v>135</v>
      </c>
    </row>
    <row r="625" spans="1:13" x14ac:dyDescent="0.2">
      <c r="A625" s="2" t="s">
        <v>209</v>
      </c>
      <c r="B625" s="2" t="s">
        <v>210</v>
      </c>
      <c r="C625" s="2" t="s">
        <v>7</v>
      </c>
      <c r="D625" s="2" t="s">
        <v>52</v>
      </c>
      <c r="E625" s="2" t="s">
        <v>4128</v>
      </c>
      <c r="F625" s="5"/>
      <c r="G625" s="4">
        <v>0</v>
      </c>
      <c r="H625" s="4"/>
      <c r="I625" s="2" t="s">
        <v>30</v>
      </c>
      <c r="J625" s="2">
        <v>230</v>
      </c>
      <c r="K625" s="2">
        <v>1.5</v>
      </c>
      <c r="L625" s="2">
        <v>345</v>
      </c>
      <c r="M625" s="2">
        <v>0</v>
      </c>
    </row>
    <row r="626" spans="1:13" x14ac:dyDescent="0.2">
      <c r="A626" s="2" t="s">
        <v>539</v>
      </c>
      <c r="B626" s="2" t="s">
        <v>540</v>
      </c>
      <c r="C626" s="2" t="s">
        <v>54</v>
      </c>
      <c r="D626" s="2" t="s">
        <v>52</v>
      </c>
      <c r="E626" s="2" t="s">
        <v>4128</v>
      </c>
      <c r="F626" s="5"/>
      <c r="G626" s="4">
        <v>0</v>
      </c>
      <c r="H626" s="4"/>
      <c r="I626" s="2" t="s">
        <v>30</v>
      </c>
      <c r="J626" s="2">
        <v>230</v>
      </c>
      <c r="K626" s="2">
        <v>1.5</v>
      </c>
      <c r="L626" s="2">
        <v>600</v>
      </c>
      <c r="M626" s="2">
        <v>0</v>
      </c>
    </row>
    <row r="627" spans="1:13" x14ac:dyDescent="0.2">
      <c r="A627" s="2" t="s">
        <v>225</v>
      </c>
      <c r="B627" s="2" t="s">
        <v>226</v>
      </c>
      <c r="C627" s="2" t="s">
        <v>19</v>
      </c>
      <c r="D627" s="2" t="s">
        <v>52</v>
      </c>
      <c r="E627" s="2" t="s">
        <v>4128</v>
      </c>
      <c r="F627" s="5"/>
      <c r="G627" s="4">
        <v>0</v>
      </c>
      <c r="H627" s="4"/>
      <c r="I627" s="2" t="s">
        <v>30</v>
      </c>
      <c r="J627" s="2">
        <v>230</v>
      </c>
      <c r="K627" s="2">
        <v>1.5</v>
      </c>
      <c r="L627" s="2">
        <v>210</v>
      </c>
      <c r="M627" s="2">
        <v>135</v>
      </c>
    </row>
    <row r="628" spans="1:13" x14ac:dyDescent="0.2">
      <c r="A628" s="2" t="s">
        <v>813</v>
      </c>
      <c r="B628" s="2" t="s">
        <v>814</v>
      </c>
      <c r="C628" s="2" t="s">
        <v>7</v>
      </c>
      <c r="D628" s="2" t="s">
        <v>52</v>
      </c>
      <c r="E628" s="2" t="s">
        <v>4128</v>
      </c>
      <c r="F628" s="5"/>
      <c r="G628" s="4">
        <v>0</v>
      </c>
      <c r="H628" s="4"/>
      <c r="I628" s="2" t="s">
        <v>30</v>
      </c>
      <c r="J628" s="2">
        <v>230</v>
      </c>
      <c r="K628" s="2">
        <v>1.5</v>
      </c>
      <c r="L628" s="2">
        <v>0</v>
      </c>
      <c r="M628" s="2">
        <v>345</v>
      </c>
    </row>
    <row r="629" spans="1:13" x14ac:dyDescent="0.2">
      <c r="A629" s="2" t="s">
        <v>823</v>
      </c>
      <c r="B629" s="2" t="s">
        <v>824</v>
      </c>
      <c r="C629" s="2" t="s">
        <v>91</v>
      </c>
      <c r="D629" s="2" t="s">
        <v>52</v>
      </c>
      <c r="E629" s="2" t="s">
        <v>4128</v>
      </c>
      <c r="F629" s="5"/>
      <c r="G629" s="4">
        <v>0</v>
      </c>
      <c r="H629" s="4"/>
      <c r="I629" s="2" t="s">
        <v>30</v>
      </c>
      <c r="J629" s="2">
        <v>230</v>
      </c>
      <c r="K629" s="2">
        <v>1.5</v>
      </c>
      <c r="L629" s="2">
        <v>0</v>
      </c>
      <c r="M629" s="2">
        <v>345</v>
      </c>
    </row>
    <row r="630" spans="1:13" x14ac:dyDescent="0.2">
      <c r="A630" s="2" t="s">
        <v>827</v>
      </c>
      <c r="B630" s="2" t="s">
        <v>828</v>
      </c>
      <c r="C630" s="2" t="s">
        <v>4125</v>
      </c>
      <c r="D630" s="2" t="s">
        <v>52</v>
      </c>
      <c r="E630" s="2" t="s">
        <v>4128</v>
      </c>
      <c r="F630" s="5"/>
      <c r="G630" s="4">
        <v>0</v>
      </c>
      <c r="H630" s="4"/>
      <c r="I630" s="2" t="s">
        <v>30</v>
      </c>
      <c r="J630" s="2">
        <v>230</v>
      </c>
      <c r="K630" s="2">
        <v>1.5</v>
      </c>
      <c r="L630" s="2">
        <v>0</v>
      </c>
      <c r="M630" s="2">
        <v>345</v>
      </c>
    </row>
    <row r="631" spans="1:13" x14ac:dyDescent="0.2">
      <c r="A631" s="2" t="s">
        <v>3662</v>
      </c>
      <c r="B631" s="2" t="s">
        <v>3663</v>
      </c>
      <c r="C631" s="2" t="s">
        <v>592</v>
      </c>
      <c r="D631" s="2" t="s">
        <v>52</v>
      </c>
      <c r="E631" s="2" t="s">
        <v>4128</v>
      </c>
      <c r="F631" s="5"/>
      <c r="G631" s="4">
        <v>0</v>
      </c>
      <c r="H631" s="4"/>
      <c r="I631" s="2" t="s">
        <v>30</v>
      </c>
      <c r="J631" s="2">
        <v>230</v>
      </c>
      <c r="K631" s="2">
        <v>1.5</v>
      </c>
      <c r="L631" s="2">
        <v>0</v>
      </c>
      <c r="M631" s="2">
        <v>345</v>
      </c>
    </row>
    <row r="632" spans="1:13" x14ac:dyDescent="0.2">
      <c r="A632" s="2" t="s">
        <v>1151</v>
      </c>
      <c r="B632" s="2" t="s">
        <v>1152</v>
      </c>
      <c r="C632" s="2" t="s">
        <v>91</v>
      </c>
      <c r="D632" s="2" t="s">
        <v>52</v>
      </c>
      <c r="E632" s="2" t="s">
        <v>4128</v>
      </c>
      <c r="F632" s="5"/>
      <c r="G632" s="4">
        <v>0</v>
      </c>
      <c r="H632" s="4"/>
      <c r="I632" s="2" t="s">
        <v>30</v>
      </c>
      <c r="J632" s="2">
        <v>230</v>
      </c>
      <c r="K632" s="2">
        <v>1.5</v>
      </c>
      <c r="L632" s="2">
        <v>210</v>
      </c>
      <c r="M632" s="2">
        <v>135</v>
      </c>
    </row>
    <row r="633" spans="1:13" x14ac:dyDescent="0.2">
      <c r="A633" s="2" t="s">
        <v>4036</v>
      </c>
      <c r="B633" s="2" t="s">
        <v>4037</v>
      </c>
      <c r="C633" s="2" t="s">
        <v>7</v>
      </c>
      <c r="D633" s="2" t="s">
        <v>52</v>
      </c>
      <c r="E633" s="2" t="s">
        <v>4128</v>
      </c>
      <c r="F633" s="5"/>
      <c r="G633" s="4">
        <v>0</v>
      </c>
      <c r="H633" s="4"/>
      <c r="I633" s="2" t="s">
        <v>30</v>
      </c>
      <c r="J633" s="2">
        <v>230</v>
      </c>
      <c r="K633" s="2">
        <v>1.5</v>
      </c>
      <c r="L633" s="2">
        <v>0</v>
      </c>
      <c r="M633" s="2">
        <v>345</v>
      </c>
    </row>
    <row r="634" spans="1:13" x14ac:dyDescent="0.2">
      <c r="A634" s="2" t="s">
        <v>1153</v>
      </c>
      <c r="B634" s="2" t="s">
        <v>1154</v>
      </c>
      <c r="C634" s="2" t="s">
        <v>91</v>
      </c>
      <c r="D634" s="2" t="s">
        <v>52</v>
      </c>
      <c r="E634" s="2" t="s">
        <v>4128</v>
      </c>
      <c r="F634" s="5"/>
      <c r="G634" s="4">
        <v>0</v>
      </c>
      <c r="H634" s="4"/>
      <c r="I634" s="2" t="s">
        <v>30</v>
      </c>
      <c r="J634" s="2">
        <v>230</v>
      </c>
      <c r="K634" s="2">
        <v>1.5</v>
      </c>
      <c r="L634" s="2">
        <v>210</v>
      </c>
      <c r="M634" s="2">
        <v>135</v>
      </c>
    </row>
    <row r="635" spans="1:13" x14ac:dyDescent="0.2">
      <c r="A635" s="2" t="s">
        <v>1361</v>
      </c>
      <c r="B635" s="2" t="s">
        <v>1362</v>
      </c>
      <c r="C635" s="2" t="s">
        <v>94</v>
      </c>
      <c r="D635" s="2" t="s">
        <v>52</v>
      </c>
      <c r="E635" s="2" t="s">
        <v>4128</v>
      </c>
      <c r="F635" s="5"/>
      <c r="G635" s="4">
        <v>0</v>
      </c>
      <c r="H635" s="4"/>
      <c r="I635" s="2" t="s">
        <v>30</v>
      </c>
      <c r="J635" s="2">
        <v>230</v>
      </c>
      <c r="K635" s="2">
        <v>1.5</v>
      </c>
      <c r="L635" s="2">
        <v>810</v>
      </c>
      <c r="M635" s="2">
        <v>0</v>
      </c>
    </row>
    <row r="636" spans="1:13" x14ac:dyDescent="0.2">
      <c r="A636" s="2" t="s">
        <v>251</v>
      </c>
      <c r="B636" s="2" t="s">
        <v>252</v>
      </c>
      <c r="C636" s="2" t="s">
        <v>1366</v>
      </c>
      <c r="D636" s="2" t="s">
        <v>52</v>
      </c>
      <c r="E636" s="2" t="s">
        <v>4128</v>
      </c>
      <c r="F636" s="5"/>
      <c r="G636" s="4">
        <v>0</v>
      </c>
      <c r="H636" s="4"/>
      <c r="I636" s="2" t="s">
        <v>30</v>
      </c>
      <c r="J636" s="2">
        <v>230</v>
      </c>
      <c r="K636" s="2">
        <v>1.5</v>
      </c>
      <c r="L636" s="2">
        <v>600</v>
      </c>
      <c r="M636" s="2">
        <v>0</v>
      </c>
    </row>
    <row r="637" spans="1:13" x14ac:dyDescent="0.2">
      <c r="A637" s="2" t="s">
        <v>423</v>
      </c>
      <c r="B637" s="2" t="s">
        <v>424</v>
      </c>
      <c r="C637" s="2" t="s">
        <v>7</v>
      </c>
      <c r="D637" s="2" t="s">
        <v>52</v>
      </c>
      <c r="E637" s="2" t="s">
        <v>4128</v>
      </c>
      <c r="F637" s="5">
        <v>45905</v>
      </c>
      <c r="G637" s="4">
        <v>8068.8</v>
      </c>
      <c r="H637" s="4"/>
      <c r="I637" s="2" t="s">
        <v>30</v>
      </c>
      <c r="J637" s="2">
        <v>230</v>
      </c>
      <c r="K637" s="2">
        <v>1.5</v>
      </c>
      <c r="L637" s="2">
        <v>345</v>
      </c>
      <c r="M637" s="2">
        <v>0</v>
      </c>
    </row>
    <row r="638" spans="1:13" x14ac:dyDescent="0.2">
      <c r="A638" s="2" t="s">
        <v>1091</v>
      </c>
      <c r="B638" s="2" t="s">
        <v>1092</v>
      </c>
      <c r="C638" s="2" t="s">
        <v>54</v>
      </c>
      <c r="D638" s="2" t="s">
        <v>52</v>
      </c>
      <c r="E638" s="2" t="s">
        <v>4128</v>
      </c>
      <c r="F638" s="5"/>
      <c r="G638" s="4">
        <v>0</v>
      </c>
      <c r="H638" s="4"/>
      <c r="I638" s="2" t="s">
        <v>30</v>
      </c>
      <c r="J638" s="2">
        <v>230</v>
      </c>
      <c r="K638" s="2">
        <v>1.5</v>
      </c>
      <c r="L638" s="2">
        <v>210</v>
      </c>
      <c r="M638" s="2">
        <v>135</v>
      </c>
    </row>
    <row r="639" spans="1:13" x14ac:dyDescent="0.2">
      <c r="A639" s="2" t="s">
        <v>3664</v>
      </c>
      <c r="B639" s="2" t="s">
        <v>3665</v>
      </c>
      <c r="C639" s="2" t="s">
        <v>66</v>
      </c>
      <c r="D639" s="2" t="s">
        <v>52</v>
      </c>
      <c r="E639" s="2" t="s">
        <v>4128</v>
      </c>
      <c r="F639" s="5"/>
      <c r="G639" s="4">
        <v>0</v>
      </c>
      <c r="H639" s="4"/>
      <c r="I639" s="2" t="s">
        <v>30</v>
      </c>
      <c r="J639" s="2">
        <v>230</v>
      </c>
      <c r="K639" s="2">
        <v>1.5</v>
      </c>
      <c r="L639" s="2">
        <v>0</v>
      </c>
      <c r="M639" s="2">
        <v>345</v>
      </c>
    </row>
    <row r="640" spans="1:13" x14ac:dyDescent="0.2">
      <c r="A640" s="2" t="s">
        <v>871</v>
      </c>
      <c r="B640" s="2" t="s">
        <v>872</v>
      </c>
      <c r="C640" s="2" t="s">
        <v>54</v>
      </c>
      <c r="D640" s="2" t="s">
        <v>52</v>
      </c>
      <c r="E640" s="2" t="s">
        <v>4128</v>
      </c>
      <c r="F640" s="5"/>
      <c r="G640" s="4">
        <v>0</v>
      </c>
      <c r="H640" s="4"/>
      <c r="I640" s="2" t="s">
        <v>30</v>
      </c>
      <c r="J640" s="2">
        <v>230</v>
      </c>
      <c r="K640" s="2">
        <v>1.5</v>
      </c>
      <c r="L640" s="2">
        <v>0</v>
      </c>
      <c r="M640" s="2">
        <v>345</v>
      </c>
    </row>
    <row r="641" spans="1:13" x14ac:dyDescent="0.2">
      <c r="A641" s="2" t="s">
        <v>425</v>
      </c>
      <c r="B641" s="2" t="s">
        <v>426</v>
      </c>
      <c r="C641" s="2" t="s">
        <v>54</v>
      </c>
      <c r="D641" s="2" t="s">
        <v>52</v>
      </c>
      <c r="E641" s="2" t="s">
        <v>4128</v>
      </c>
      <c r="F641" s="5"/>
      <c r="G641" s="4">
        <v>0</v>
      </c>
      <c r="H641" s="4"/>
      <c r="I641" s="2" t="s">
        <v>30</v>
      </c>
      <c r="J641" s="2">
        <v>230</v>
      </c>
      <c r="K641" s="2">
        <v>1.5</v>
      </c>
      <c r="L641" s="2">
        <v>345</v>
      </c>
      <c r="M641" s="2">
        <v>0</v>
      </c>
    </row>
    <row r="642" spans="1:13" x14ac:dyDescent="0.2">
      <c r="A642" s="2" t="s">
        <v>919</v>
      </c>
      <c r="B642" s="2" t="s">
        <v>920</v>
      </c>
      <c r="C642" s="2" t="s">
        <v>592</v>
      </c>
      <c r="D642" s="2" t="s">
        <v>52</v>
      </c>
      <c r="E642" s="2" t="s">
        <v>4128</v>
      </c>
      <c r="F642" s="5"/>
      <c r="G642" s="4">
        <v>0</v>
      </c>
      <c r="H642" s="4"/>
      <c r="I642" s="2" t="s">
        <v>30</v>
      </c>
      <c r="J642" s="2">
        <v>230</v>
      </c>
      <c r="K642" s="2">
        <v>1.5</v>
      </c>
      <c r="L642" s="2">
        <v>0</v>
      </c>
      <c r="M642" s="2">
        <v>345</v>
      </c>
    </row>
    <row r="643" spans="1:13" x14ac:dyDescent="0.2">
      <c r="A643" s="2" t="s">
        <v>427</v>
      </c>
      <c r="B643" s="2" t="s">
        <v>428</v>
      </c>
      <c r="C643" s="2" t="s">
        <v>94</v>
      </c>
      <c r="D643" s="2" t="s">
        <v>52</v>
      </c>
      <c r="E643" s="2" t="s">
        <v>4128</v>
      </c>
      <c r="F643" s="5"/>
      <c r="G643" s="4">
        <v>0</v>
      </c>
      <c r="H643" s="4"/>
      <c r="I643" s="2" t="s">
        <v>30</v>
      </c>
      <c r="J643" s="2">
        <v>230</v>
      </c>
      <c r="K643" s="2">
        <v>1.5</v>
      </c>
      <c r="L643" s="2">
        <v>345</v>
      </c>
      <c r="M643" s="2">
        <v>0</v>
      </c>
    </row>
    <row r="644" spans="1:13" x14ac:dyDescent="0.2">
      <c r="A644" s="2" t="s">
        <v>3666</v>
      </c>
      <c r="B644" s="2" t="s">
        <v>3667</v>
      </c>
      <c r="C644" s="2" t="s">
        <v>592</v>
      </c>
      <c r="D644" s="2" t="s">
        <v>52</v>
      </c>
      <c r="E644" s="2" t="s">
        <v>4128</v>
      </c>
      <c r="F644" s="5"/>
      <c r="G644" s="4">
        <v>0</v>
      </c>
      <c r="H644" s="4"/>
      <c r="I644" s="2" t="s">
        <v>30</v>
      </c>
      <c r="J644" s="2">
        <v>230</v>
      </c>
      <c r="K644" s="2">
        <v>1.5</v>
      </c>
      <c r="L644" s="2">
        <v>0</v>
      </c>
      <c r="M644" s="2">
        <v>345</v>
      </c>
    </row>
    <row r="645" spans="1:13" x14ac:dyDescent="0.2">
      <c r="A645" s="2" t="s">
        <v>891</v>
      </c>
      <c r="B645" s="2" t="s">
        <v>892</v>
      </c>
      <c r="C645" s="2" t="s">
        <v>94</v>
      </c>
      <c r="D645" s="2" t="s">
        <v>52</v>
      </c>
      <c r="E645" s="2" t="s">
        <v>4128</v>
      </c>
      <c r="F645" s="5"/>
      <c r="G645" s="4">
        <v>0</v>
      </c>
      <c r="H645" s="4"/>
      <c r="I645" s="2" t="s">
        <v>30</v>
      </c>
      <c r="J645" s="2">
        <v>230</v>
      </c>
      <c r="K645" s="2">
        <v>1.5</v>
      </c>
      <c r="L645" s="2">
        <v>0</v>
      </c>
      <c r="M645" s="2">
        <v>345</v>
      </c>
    </row>
    <row r="646" spans="1:13" x14ac:dyDescent="0.2">
      <c r="A646" s="2" t="s">
        <v>3668</v>
      </c>
      <c r="B646" s="2" t="s">
        <v>3669</v>
      </c>
      <c r="C646" s="2" t="s">
        <v>592</v>
      </c>
      <c r="D646" s="2" t="s">
        <v>52</v>
      </c>
      <c r="E646" s="2" t="s">
        <v>4128</v>
      </c>
      <c r="F646" s="5"/>
      <c r="G646" s="4">
        <v>0</v>
      </c>
      <c r="H646" s="4"/>
      <c r="I646" s="2" t="s">
        <v>30</v>
      </c>
      <c r="J646" s="2">
        <v>230</v>
      </c>
      <c r="K646" s="2">
        <v>1.5</v>
      </c>
      <c r="L646" s="2">
        <v>0</v>
      </c>
      <c r="M646" s="2">
        <v>345</v>
      </c>
    </row>
    <row r="647" spans="1:13" x14ac:dyDescent="0.2">
      <c r="A647" s="2" t="s">
        <v>1101</v>
      </c>
      <c r="B647" s="2" t="s">
        <v>1102</v>
      </c>
      <c r="C647" s="2" t="s">
        <v>592</v>
      </c>
      <c r="D647" s="2" t="s">
        <v>52</v>
      </c>
      <c r="E647" s="2" t="s">
        <v>4128</v>
      </c>
      <c r="F647" s="5"/>
      <c r="G647" s="4">
        <v>0</v>
      </c>
      <c r="H647" s="4"/>
      <c r="I647" s="2" t="s">
        <v>30</v>
      </c>
      <c r="J647" s="2">
        <v>230</v>
      </c>
      <c r="K647" s="2">
        <v>1.5</v>
      </c>
      <c r="L647" s="2">
        <v>210</v>
      </c>
      <c r="M647" s="2">
        <v>135</v>
      </c>
    </row>
    <row r="648" spans="1:13" x14ac:dyDescent="0.2">
      <c r="A648" s="2" t="s">
        <v>893</v>
      </c>
      <c r="B648" s="2" t="s">
        <v>894</v>
      </c>
      <c r="C648" s="2" t="s">
        <v>592</v>
      </c>
      <c r="D648" s="2" t="s">
        <v>52</v>
      </c>
      <c r="E648" s="2" t="s">
        <v>4128</v>
      </c>
      <c r="F648" s="5"/>
      <c r="G648" s="4">
        <v>0</v>
      </c>
      <c r="H648" s="4"/>
      <c r="I648" s="2" t="s">
        <v>30</v>
      </c>
      <c r="J648" s="2">
        <v>230</v>
      </c>
      <c r="K648" s="2">
        <v>1.5</v>
      </c>
      <c r="L648" s="2">
        <v>0</v>
      </c>
      <c r="M648" s="2">
        <v>345</v>
      </c>
    </row>
    <row r="649" spans="1:13" x14ac:dyDescent="0.2">
      <c r="A649" s="2" t="s">
        <v>887</v>
      </c>
      <c r="B649" s="2" t="s">
        <v>888</v>
      </c>
      <c r="C649" s="2" t="s">
        <v>1366</v>
      </c>
      <c r="D649" s="2" t="s">
        <v>52</v>
      </c>
      <c r="E649" s="2" t="s">
        <v>4128</v>
      </c>
      <c r="F649" s="5"/>
      <c r="G649" s="4">
        <v>0</v>
      </c>
      <c r="H649" s="4"/>
      <c r="I649" s="2" t="s">
        <v>30</v>
      </c>
      <c r="J649" s="2">
        <v>230</v>
      </c>
      <c r="K649" s="2">
        <v>1.5</v>
      </c>
      <c r="L649" s="2">
        <v>0</v>
      </c>
      <c r="M649" s="2">
        <v>345</v>
      </c>
    </row>
    <row r="650" spans="1:13" x14ac:dyDescent="0.2">
      <c r="A650" s="2" t="s">
        <v>1107</v>
      </c>
      <c r="B650" s="2" t="s">
        <v>1108</v>
      </c>
      <c r="C650" s="2" t="s">
        <v>94</v>
      </c>
      <c r="D650" s="2" t="s">
        <v>52</v>
      </c>
      <c r="E650" s="2" t="s">
        <v>4128</v>
      </c>
      <c r="F650" s="5"/>
      <c r="G650" s="4">
        <v>0</v>
      </c>
      <c r="H650" s="4"/>
      <c r="I650" s="2" t="s">
        <v>30</v>
      </c>
      <c r="J650" s="2">
        <v>230</v>
      </c>
      <c r="K650" s="2">
        <v>1.5</v>
      </c>
      <c r="L650" s="2">
        <v>210</v>
      </c>
      <c r="M650" s="2">
        <v>135</v>
      </c>
    </row>
    <row r="651" spans="1:13" x14ac:dyDescent="0.2">
      <c r="A651" s="2" t="s">
        <v>927</v>
      </c>
      <c r="B651" s="2" t="s">
        <v>928</v>
      </c>
      <c r="C651" s="2" t="s">
        <v>1366</v>
      </c>
      <c r="D651" s="2" t="s">
        <v>52</v>
      </c>
      <c r="E651" s="2" t="s">
        <v>4128</v>
      </c>
      <c r="F651" s="5"/>
      <c r="G651" s="4">
        <v>0</v>
      </c>
      <c r="H651" s="4"/>
      <c r="I651" s="2" t="s">
        <v>30</v>
      </c>
      <c r="J651" s="2">
        <v>230</v>
      </c>
      <c r="K651" s="2">
        <v>1.5</v>
      </c>
      <c r="L651" s="2">
        <v>0</v>
      </c>
      <c r="M651" s="2">
        <v>345</v>
      </c>
    </row>
    <row r="652" spans="1:13" x14ac:dyDescent="0.2">
      <c r="A652" s="2" t="s">
        <v>281</v>
      </c>
      <c r="B652" s="2" t="s">
        <v>282</v>
      </c>
      <c r="C652" s="2" t="s">
        <v>66</v>
      </c>
      <c r="D652" s="2" t="s">
        <v>52</v>
      </c>
      <c r="E652" s="2" t="s">
        <v>4128</v>
      </c>
      <c r="F652" s="5"/>
      <c r="G652" s="4">
        <v>0</v>
      </c>
      <c r="H652" s="4"/>
      <c r="I652" s="2" t="s">
        <v>30</v>
      </c>
      <c r="J652" s="2">
        <v>230</v>
      </c>
      <c r="K652" s="2">
        <v>1.5</v>
      </c>
      <c r="L652" s="2">
        <v>210</v>
      </c>
      <c r="M652" s="2">
        <v>135</v>
      </c>
    </row>
    <row r="653" spans="1:13" x14ac:dyDescent="0.2">
      <c r="A653" s="2" t="s">
        <v>303</v>
      </c>
      <c r="B653" s="2" t="s">
        <v>304</v>
      </c>
      <c r="C653" s="2" t="s">
        <v>19</v>
      </c>
      <c r="D653" s="2" t="s">
        <v>52</v>
      </c>
      <c r="E653" s="2" t="s">
        <v>4128</v>
      </c>
      <c r="F653" s="5"/>
      <c r="G653" s="4">
        <v>0</v>
      </c>
      <c r="H653" s="4"/>
      <c r="I653" s="2" t="s">
        <v>30</v>
      </c>
      <c r="J653" s="2">
        <v>230</v>
      </c>
      <c r="K653" s="2">
        <v>1.5</v>
      </c>
      <c r="L653" s="2">
        <v>345</v>
      </c>
      <c r="M653" s="2">
        <v>0</v>
      </c>
    </row>
    <row r="654" spans="1:13" x14ac:dyDescent="0.2">
      <c r="A654" s="2" t="s">
        <v>4038</v>
      </c>
      <c r="B654" s="2" t="s">
        <v>4039</v>
      </c>
      <c r="C654" s="2" t="s">
        <v>91</v>
      </c>
      <c r="D654" s="2" t="s">
        <v>52</v>
      </c>
      <c r="E654" s="2" t="s">
        <v>4128</v>
      </c>
      <c r="F654" s="5"/>
      <c r="G654" s="4">
        <v>0</v>
      </c>
      <c r="H654" s="4"/>
      <c r="I654" s="2" t="s">
        <v>30</v>
      </c>
      <c r="J654" s="2">
        <v>230</v>
      </c>
      <c r="K654" s="2">
        <v>1.5</v>
      </c>
      <c r="L654" s="2">
        <v>0</v>
      </c>
      <c r="M654" s="2">
        <v>345</v>
      </c>
    </row>
    <row r="655" spans="1:13" x14ac:dyDescent="0.2">
      <c r="A655" s="2" t="s">
        <v>4040</v>
      </c>
      <c r="B655" s="2" t="s">
        <v>4041</v>
      </c>
      <c r="C655" s="2" t="s">
        <v>7</v>
      </c>
      <c r="D655" s="2" t="s">
        <v>52</v>
      </c>
      <c r="E655" s="2" t="s">
        <v>4128</v>
      </c>
      <c r="F655" s="5"/>
      <c r="G655" s="4">
        <v>0</v>
      </c>
      <c r="H655" s="4"/>
      <c r="I655" s="2" t="s">
        <v>30</v>
      </c>
      <c r="J655" s="2">
        <v>230</v>
      </c>
      <c r="K655" s="2">
        <v>1.5</v>
      </c>
      <c r="L655" s="2">
        <v>0</v>
      </c>
      <c r="M655" s="2">
        <v>345</v>
      </c>
    </row>
    <row r="656" spans="1:13" x14ac:dyDescent="0.2">
      <c r="A656" s="2" t="s">
        <v>943</v>
      </c>
      <c r="B656" s="2" t="s">
        <v>944</v>
      </c>
      <c r="C656" s="2" t="s">
        <v>7</v>
      </c>
      <c r="D656" s="2" t="s">
        <v>52</v>
      </c>
      <c r="E656" s="2" t="s">
        <v>4128</v>
      </c>
      <c r="F656" s="5"/>
      <c r="G656" s="4">
        <v>0</v>
      </c>
      <c r="H656" s="4"/>
      <c r="I656" s="2" t="s">
        <v>30</v>
      </c>
      <c r="J656" s="2">
        <v>230</v>
      </c>
      <c r="K656" s="2">
        <v>1.5</v>
      </c>
      <c r="L656" s="2">
        <v>0</v>
      </c>
      <c r="M656" s="2">
        <v>345</v>
      </c>
    </row>
    <row r="657" spans="1:13" x14ac:dyDescent="0.2">
      <c r="A657" s="2" t="s">
        <v>961</v>
      </c>
      <c r="B657" s="2" t="s">
        <v>962</v>
      </c>
      <c r="C657" s="2" t="s">
        <v>7</v>
      </c>
      <c r="D657" s="2" t="s">
        <v>52</v>
      </c>
      <c r="E657" s="2" t="s">
        <v>4128</v>
      </c>
      <c r="F657" s="5"/>
      <c r="G657" s="4">
        <v>0</v>
      </c>
      <c r="H657" s="4"/>
      <c r="I657" s="2" t="s">
        <v>30</v>
      </c>
      <c r="J657" s="2">
        <v>230</v>
      </c>
      <c r="K657" s="2">
        <v>1.5</v>
      </c>
      <c r="L657" s="2">
        <v>0</v>
      </c>
      <c r="M657" s="2">
        <v>345</v>
      </c>
    </row>
    <row r="658" spans="1:13" x14ac:dyDescent="0.2">
      <c r="A658" s="2" t="s">
        <v>4042</v>
      </c>
      <c r="B658" s="2" t="s">
        <v>4043</v>
      </c>
      <c r="C658" s="2" t="s">
        <v>7</v>
      </c>
      <c r="D658" s="2" t="s">
        <v>52</v>
      </c>
      <c r="E658" s="2" t="s">
        <v>4128</v>
      </c>
      <c r="F658" s="5"/>
      <c r="G658" s="4">
        <v>0</v>
      </c>
      <c r="H658" s="4"/>
      <c r="I658" s="2" t="s">
        <v>30</v>
      </c>
      <c r="J658" s="2">
        <v>230</v>
      </c>
      <c r="K658" s="2">
        <v>1.5</v>
      </c>
      <c r="L658" s="2">
        <v>0</v>
      </c>
      <c r="M658" s="2">
        <v>345</v>
      </c>
    </row>
    <row r="659" spans="1:13" x14ac:dyDescent="0.2">
      <c r="A659" s="2" t="s">
        <v>4044</v>
      </c>
      <c r="B659" s="2" t="s">
        <v>4045</v>
      </c>
      <c r="C659" s="2" t="s">
        <v>7</v>
      </c>
      <c r="D659" s="2" t="s">
        <v>52</v>
      </c>
      <c r="E659" s="2" t="s">
        <v>4128</v>
      </c>
      <c r="F659" s="5"/>
      <c r="G659" s="4">
        <v>0</v>
      </c>
      <c r="H659" s="4"/>
      <c r="I659" s="2" t="s">
        <v>30</v>
      </c>
      <c r="J659" s="2">
        <v>230</v>
      </c>
      <c r="K659" s="2">
        <v>1.5</v>
      </c>
      <c r="L659" s="2">
        <v>0</v>
      </c>
      <c r="M659" s="2">
        <v>345</v>
      </c>
    </row>
    <row r="660" spans="1:13" x14ac:dyDescent="0.2">
      <c r="A660" s="2" t="s">
        <v>335</v>
      </c>
      <c r="B660" s="2" t="s">
        <v>336</v>
      </c>
      <c r="C660" s="2" t="s">
        <v>7</v>
      </c>
      <c r="D660" s="2" t="s">
        <v>52</v>
      </c>
      <c r="E660" s="2" t="s">
        <v>4128</v>
      </c>
      <c r="F660" s="5"/>
      <c r="G660" s="4">
        <v>0</v>
      </c>
      <c r="H660" s="4"/>
      <c r="I660" s="2" t="s">
        <v>30</v>
      </c>
      <c r="J660" s="2">
        <v>230</v>
      </c>
      <c r="K660" s="2">
        <v>1.5</v>
      </c>
      <c r="L660" s="2">
        <v>810</v>
      </c>
      <c r="M660" s="2">
        <v>0</v>
      </c>
    </row>
    <row r="661" spans="1:13" x14ac:dyDescent="0.2">
      <c r="A661" s="2" t="s">
        <v>3670</v>
      </c>
      <c r="B661" s="2" t="s">
        <v>3671</v>
      </c>
      <c r="C661" s="2" t="s">
        <v>66</v>
      </c>
      <c r="D661" s="2" t="s">
        <v>52</v>
      </c>
      <c r="E661" s="2" t="s">
        <v>4128</v>
      </c>
      <c r="F661" s="5"/>
      <c r="G661" s="4">
        <v>0</v>
      </c>
      <c r="H661" s="4"/>
      <c r="I661" s="2" t="s">
        <v>30</v>
      </c>
      <c r="J661" s="2">
        <v>230</v>
      </c>
      <c r="K661" s="2">
        <v>1.5</v>
      </c>
      <c r="L661" s="2">
        <v>0</v>
      </c>
      <c r="M661" s="2">
        <v>345</v>
      </c>
    </row>
    <row r="662" spans="1:13" x14ac:dyDescent="0.2">
      <c r="A662" s="2" t="s">
        <v>1117</v>
      </c>
      <c r="B662" s="2" t="s">
        <v>1118</v>
      </c>
      <c r="C662" s="2" t="s">
        <v>91</v>
      </c>
      <c r="D662" s="2" t="s">
        <v>52</v>
      </c>
      <c r="E662" s="2" t="s">
        <v>4128</v>
      </c>
      <c r="F662" s="5"/>
      <c r="G662" s="4">
        <v>0</v>
      </c>
      <c r="H662" s="4"/>
      <c r="I662" s="2" t="s">
        <v>30</v>
      </c>
      <c r="J662" s="2">
        <v>230</v>
      </c>
      <c r="K662" s="2">
        <v>1.5</v>
      </c>
      <c r="L662" s="2">
        <v>210</v>
      </c>
      <c r="M662" s="2">
        <v>135</v>
      </c>
    </row>
    <row r="663" spans="1:13" x14ac:dyDescent="0.2">
      <c r="A663" s="2" t="s">
        <v>3672</v>
      </c>
      <c r="B663" s="2" t="s">
        <v>3673</v>
      </c>
      <c r="C663" s="2" t="s">
        <v>4125</v>
      </c>
      <c r="D663" s="2" t="s">
        <v>52</v>
      </c>
      <c r="E663" s="2" t="s">
        <v>4128</v>
      </c>
      <c r="F663" s="5"/>
      <c r="G663" s="4">
        <v>0</v>
      </c>
      <c r="H663" s="4"/>
      <c r="I663" s="2" t="s">
        <v>30</v>
      </c>
      <c r="J663" s="2">
        <v>230</v>
      </c>
      <c r="K663" s="2">
        <v>1.5</v>
      </c>
      <c r="L663" s="2">
        <v>0</v>
      </c>
      <c r="M663" s="2">
        <v>345</v>
      </c>
    </row>
    <row r="664" spans="1:13" x14ac:dyDescent="0.2">
      <c r="A664" s="2" t="s">
        <v>3674</v>
      </c>
      <c r="B664" s="2" t="s">
        <v>3675</v>
      </c>
      <c r="C664" s="2" t="s">
        <v>4125</v>
      </c>
      <c r="D664" s="2" t="s">
        <v>52</v>
      </c>
      <c r="E664" s="2" t="s">
        <v>4128</v>
      </c>
      <c r="F664" s="5"/>
      <c r="G664" s="4">
        <v>0</v>
      </c>
      <c r="H664" s="4"/>
      <c r="I664" s="2" t="s">
        <v>30</v>
      </c>
      <c r="J664" s="2">
        <v>230</v>
      </c>
      <c r="K664" s="2">
        <v>1.5</v>
      </c>
      <c r="L664" s="2">
        <v>0</v>
      </c>
      <c r="M664" s="2">
        <v>345</v>
      </c>
    </row>
    <row r="665" spans="1:13" x14ac:dyDescent="0.2">
      <c r="A665" s="2" t="s">
        <v>3676</v>
      </c>
      <c r="B665" s="2" t="s">
        <v>3677</v>
      </c>
      <c r="C665" s="2" t="s">
        <v>4125</v>
      </c>
      <c r="D665" s="2" t="s">
        <v>52</v>
      </c>
      <c r="E665" s="2" t="s">
        <v>4128</v>
      </c>
      <c r="F665" s="5"/>
      <c r="G665" s="4">
        <v>0</v>
      </c>
      <c r="H665" s="4"/>
      <c r="I665" s="2" t="s">
        <v>30</v>
      </c>
      <c r="J665" s="2">
        <v>230</v>
      </c>
      <c r="K665" s="2">
        <v>1.5</v>
      </c>
      <c r="L665" s="2">
        <v>0</v>
      </c>
      <c r="M665" s="2">
        <v>345</v>
      </c>
    </row>
    <row r="666" spans="1:13" x14ac:dyDescent="0.2">
      <c r="A666" s="2" t="s">
        <v>3678</v>
      </c>
      <c r="B666" s="2" t="s">
        <v>3679</v>
      </c>
      <c r="C666" s="2" t="s">
        <v>4125</v>
      </c>
      <c r="D666" s="2" t="s">
        <v>52</v>
      </c>
      <c r="E666" s="2" t="s">
        <v>4128</v>
      </c>
      <c r="F666" s="5"/>
      <c r="G666" s="4">
        <v>0</v>
      </c>
      <c r="H666" s="4"/>
      <c r="I666" s="2" t="s">
        <v>30</v>
      </c>
      <c r="J666" s="2">
        <v>230</v>
      </c>
      <c r="K666" s="2">
        <v>1.5</v>
      </c>
      <c r="L666" s="2">
        <v>0</v>
      </c>
      <c r="M666" s="2">
        <v>345</v>
      </c>
    </row>
    <row r="667" spans="1:13" x14ac:dyDescent="0.2">
      <c r="A667" s="2" t="s">
        <v>441</v>
      </c>
      <c r="B667" s="2" t="s">
        <v>442</v>
      </c>
      <c r="C667" s="2" t="s">
        <v>7</v>
      </c>
      <c r="D667" s="2" t="s">
        <v>52</v>
      </c>
      <c r="E667" s="2" t="s">
        <v>4128</v>
      </c>
      <c r="F667" s="5"/>
      <c r="G667" s="4">
        <v>0</v>
      </c>
      <c r="H667" s="4"/>
      <c r="I667" s="2" t="s">
        <v>30</v>
      </c>
      <c r="J667" s="2">
        <v>230</v>
      </c>
      <c r="K667" s="2">
        <v>1.5</v>
      </c>
      <c r="L667" s="2">
        <v>210</v>
      </c>
      <c r="M667" s="2">
        <v>135</v>
      </c>
    </row>
    <row r="668" spans="1:13" x14ac:dyDescent="0.2">
      <c r="A668" s="2" t="s">
        <v>3680</v>
      </c>
      <c r="B668" s="2" t="s">
        <v>3681</v>
      </c>
      <c r="C668" s="2" t="s">
        <v>1366</v>
      </c>
      <c r="D668" s="2" t="s">
        <v>52</v>
      </c>
      <c r="E668" s="2" t="s">
        <v>4128</v>
      </c>
      <c r="F668" s="5"/>
      <c r="G668" s="4">
        <v>0</v>
      </c>
      <c r="H668" s="4"/>
      <c r="I668" s="2" t="s">
        <v>30</v>
      </c>
      <c r="J668" s="2">
        <v>230</v>
      </c>
      <c r="K668" s="2">
        <v>1.5</v>
      </c>
      <c r="L668" s="2">
        <v>0</v>
      </c>
      <c r="M668" s="2">
        <v>345</v>
      </c>
    </row>
    <row r="669" spans="1:13" x14ac:dyDescent="0.2">
      <c r="A669" s="2" t="s">
        <v>439</v>
      </c>
      <c r="B669" s="2" t="s">
        <v>440</v>
      </c>
      <c r="C669" s="2" t="s">
        <v>94</v>
      </c>
      <c r="D669" s="2" t="s">
        <v>52</v>
      </c>
      <c r="E669" s="2" t="s">
        <v>4128</v>
      </c>
      <c r="F669" s="5"/>
      <c r="G669" s="4">
        <v>0</v>
      </c>
      <c r="H669" s="4"/>
      <c r="I669" s="2" t="s">
        <v>30</v>
      </c>
      <c r="J669" s="2">
        <v>230</v>
      </c>
      <c r="K669" s="2">
        <v>1.5</v>
      </c>
      <c r="L669" s="2">
        <v>345</v>
      </c>
      <c r="M669" s="2">
        <v>0</v>
      </c>
    </row>
    <row r="670" spans="1:13" x14ac:dyDescent="0.2">
      <c r="A670" s="2" t="s">
        <v>3682</v>
      </c>
      <c r="B670" s="2" t="s">
        <v>3683</v>
      </c>
      <c r="C670" s="2" t="s">
        <v>66</v>
      </c>
      <c r="D670" s="2" t="s">
        <v>52</v>
      </c>
      <c r="E670" s="2" t="s">
        <v>4128</v>
      </c>
      <c r="F670" s="5"/>
      <c r="G670" s="4">
        <v>0</v>
      </c>
      <c r="H670" s="4"/>
      <c r="I670" s="2" t="s">
        <v>4094</v>
      </c>
      <c r="J670" s="2">
        <v>230</v>
      </c>
      <c r="K670" s="2">
        <v>1.5</v>
      </c>
      <c r="L670" s="2">
        <v>0</v>
      </c>
      <c r="M670" s="2">
        <v>345</v>
      </c>
    </row>
    <row r="671" spans="1:13" x14ac:dyDescent="0.2">
      <c r="A671" s="2" t="s">
        <v>181</v>
      </c>
      <c r="B671" s="2" t="s">
        <v>182</v>
      </c>
      <c r="C671" s="2" t="s">
        <v>94</v>
      </c>
      <c r="D671" s="2" t="s">
        <v>52</v>
      </c>
      <c r="E671" s="2" t="s">
        <v>4128</v>
      </c>
      <c r="F671" s="5"/>
      <c r="G671" s="4">
        <v>0</v>
      </c>
      <c r="H671" s="4"/>
      <c r="I671" s="2" t="s">
        <v>103</v>
      </c>
      <c r="J671" s="2">
        <v>230</v>
      </c>
      <c r="K671" s="2">
        <v>1.5</v>
      </c>
      <c r="L671" s="2">
        <v>210</v>
      </c>
      <c r="M671" s="2">
        <v>135</v>
      </c>
    </row>
    <row r="672" spans="1:13" x14ac:dyDescent="0.2">
      <c r="A672" s="2" t="s">
        <v>469</v>
      </c>
      <c r="B672" s="2" t="s">
        <v>470</v>
      </c>
      <c r="C672" s="2" t="s">
        <v>19</v>
      </c>
      <c r="D672" s="2" t="s">
        <v>52</v>
      </c>
      <c r="E672" s="2" t="s">
        <v>4128</v>
      </c>
      <c r="F672" s="5"/>
      <c r="G672" s="4">
        <v>0</v>
      </c>
      <c r="H672" s="4"/>
      <c r="I672" s="2" t="s">
        <v>103</v>
      </c>
      <c r="J672" s="2">
        <v>230</v>
      </c>
      <c r="K672" s="2">
        <v>1.5</v>
      </c>
      <c r="L672" s="2">
        <v>345</v>
      </c>
      <c r="M672" s="2">
        <v>0</v>
      </c>
    </row>
    <row r="673" spans="1:13" x14ac:dyDescent="0.2">
      <c r="A673" s="2" t="s">
        <v>365</v>
      </c>
      <c r="B673" s="2" t="s">
        <v>366</v>
      </c>
      <c r="C673" s="2" t="s">
        <v>94</v>
      </c>
      <c r="D673" s="2" t="s">
        <v>52</v>
      </c>
      <c r="E673" s="2" t="s">
        <v>4128</v>
      </c>
      <c r="F673" s="5"/>
      <c r="G673" s="4">
        <v>0</v>
      </c>
      <c r="H673" s="4"/>
      <c r="I673" s="2" t="s">
        <v>103</v>
      </c>
      <c r="J673" s="2">
        <v>230</v>
      </c>
      <c r="K673" s="2">
        <v>1.5</v>
      </c>
      <c r="L673" s="2">
        <v>210</v>
      </c>
      <c r="M673" s="2">
        <v>135</v>
      </c>
    </row>
    <row r="674" spans="1:13" x14ac:dyDescent="0.2">
      <c r="A674" s="2" t="s">
        <v>4046</v>
      </c>
      <c r="B674" s="2" t="s">
        <v>4047</v>
      </c>
      <c r="C674" s="2" t="s">
        <v>91</v>
      </c>
      <c r="D674" s="2" t="s">
        <v>52</v>
      </c>
      <c r="E674" s="2" t="s">
        <v>4128</v>
      </c>
      <c r="F674" s="5"/>
      <c r="G674" s="4">
        <v>0</v>
      </c>
      <c r="H674" s="4"/>
      <c r="I674" s="2" t="s">
        <v>597</v>
      </c>
      <c r="J674" s="2">
        <v>230</v>
      </c>
      <c r="K674" s="2">
        <v>1.5</v>
      </c>
      <c r="L674" s="2">
        <v>0</v>
      </c>
      <c r="M674" s="2">
        <v>345</v>
      </c>
    </row>
    <row r="675" spans="1:13" x14ac:dyDescent="0.2">
      <c r="A675" s="2" t="s">
        <v>1235</v>
      </c>
      <c r="B675" s="2" t="s">
        <v>1236</v>
      </c>
      <c r="C675" s="2" t="s">
        <v>54</v>
      </c>
      <c r="D675" s="2" t="s">
        <v>52</v>
      </c>
      <c r="E675" s="2" t="s">
        <v>4128</v>
      </c>
      <c r="F675" s="5"/>
      <c r="G675" s="4">
        <v>0</v>
      </c>
      <c r="H675" s="4"/>
      <c r="I675" s="2" t="s">
        <v>597</v>
      </c>
      <c r="J675" s="2">
        <v>230</v>
      </c>
      <c r="K675" s="2">
        <v>1.5</v>
      </c>
      <c r="L675" s="2">
        <v>345</v>
      </c>
      <c r="M675" s="2">
        <v>0</v>
      </c>
    </row>
    <row r="676" spans="1:13" x14ac:dyDescent="0.2">
      <c r="A676" s="2" t="s">
        <v>607</v>
      </c>
      <c r="B676" s="2" t="s">
        <v>608</v>
      </c>
      <c r="C676" s="2" t="s">
        <v>4126</v>
      </c>
      <c r="D676" s="2" t="s">
        <v>52</v>
      </c>
      <c r="E676" s="2" t="s">
        <v>4128</v>
      </c>
      <c r="F676" s="5"/>
      <c r="G676" s="4">
        <v>0</v>
      </c>
      <c r="H676" s="4"/>
      <c r="I676" s="2" t="s">
        <v>24</v>
      </c>
      <c r="J676" s="2">
        <v>230</v>
      </c>
      <c r="K676" s="2">
        <v>1.5</v>
      </c>
      <c r="L676" s="2">
        <v>0</v>
      </c>
      <c r="M676" s="2">
        <v>345</v>
      </c>
    </row>
    <row r="677" spans="1:13" x14ac:dyDescent="0.2">
      <c r="A677" s="2" t="s">
        <v>3684</v>
      </c>
      <c r="B677" s="2" t="s">
        <v>3685</v>
      </c>
      <c r="C677" s="2" t="s">
        <v>66</v>
      </c>
      <c r="D677" s="2" t="s">
        <v>52</v>
      </c>
      <c r="E677" s="2" t="s">
        <v>4128</v>
      </c>
      <c r="F677" s="5"/>
      <c r="G677" s="4">
        <v>0</v>
      </c>
      <c r="H677" s="4"/>
      <c r="I677" s="2" t="s">
        <v>24</v>
      </c>
      <c r="J677" s="2">
        <v>230</v>
      </c>
      <c r="K677" s="2">
        <v>1.5</v>
      </c>
      <c r="L677" s="2">
        <v>0</v>
      </c>
      <c r="M677" s="2">
        <v>345</v>
      </c>
    </row>
    <row r="678" spans="1:13" x14ac:dyDescent="0.2">
      <c r="A678" s="2" t="s">
        <v>3686</v>
      </c>
      <c r="B678" s="2" t="s">
        <v>3687</v>
      </c>
      <c r="C678" s="2" t="s">
        <v>66</v>
      </c>
      <c r="D678" s="2" t="s">
        <v>52</v>
      </c>
      <c r="E678" s="2" t="s">
        <v>4128</v>
      </c>
      <c r="F678" s="5"/>
      <c r="G678" s="4">
        <v>0</v>
      </c>
      <c r="H678" s="4"/>
      <c r="I678" s="2" t="s">
        <v>24</v>
      </c>
      <c r="J678" s="2">
        <v>230</v>
      </c>
      <c r="K678" s="2">
        <v>1.5</v>
      </c>
      <c r="L678" s="2">
        <v>0</v>
      </c>
      <c r="M678" s="2">
        <v>345</v>
      </c>
    </row>
    <row r="679" spans="1:13" x14ac:dyDescent="0.2">
      <c r="A679" s="2" t="s">
        <v>3688</v>
      </c>
      <c r="B679" s="2" t="s">
        <v>3689</v>
      </c>
      <c r="C679" s="2" t="s">
        <v>94</v>
      </c>
      <c r="D679" s="2" t="s">
        <v>52</v>
      </c>
      <c r="E679" s="2" t="s">
        <v>4128</v>
      </c>
      <c r="F679" s="5"/>
      <c r="G679" s="4">
        <v>0</v>
      </c>
      <c r="H679" s="4"/>
      <c r="I679" s="2" t="s">
        <v>24</v>
      </c>
      <c r="J679" s="2">
        <v>230</v>
      </c>
      <c r="K679" s="2">
        <v>1.5</v>
      </c>
      <c r="L679" s="2">
        <v>0</v>
      </c>
      <c r="M679" s="2">
        <v>345</v>
      </c>
    </row>
    <row r="680" spans="1:13" x14ac:dyDescent="0.2">
      <c r="A680" s="2" t="s">
        <v>3690</v>
      </c>
      <c r="B680" s="2" t="s">
        <v>3691</v>
      </c>
      <c r="C680" s="2" t="s">
        <v>1366</v>
      </c>
      <c r="D680" s="2" t="s">
        <v>52</v>
      </c>
      <c r="E680" s="2" t="s">
        <v>4128</v>
      </c>
      <c r="F680" s="5"/>
      <c r="G680" s="4">
        <v>0</v>
      </c>
      <c r="H680" s="4"/>
      <c r="I680" s="2" t="s">
        <v>24</v>
      </c>
      <c r="J680" s="2">
        <v>230</v>
      </c>
      <c r="K680" s="2">
        <v>1.5</v>
      </c>
      <c r="L680" s="2">
        <v>0</v>
      </c>
      <c r="M680" s="2">
        <v>345</v>
      </c>
    </row>
    <row r="681" spans="1:13" x14ac:dyDescent="0.2">
      <c r="A681" s="2" t="s">
        <v>3692</v>
      </c>
      <c r="B681" s="2" t="s">
        <v>3693</v>
      </c>
      <c r="C681" s="2" t="s">
        <v>1366</v>
      </c>
      <c r="D681" s="2" t="s">
        <v>52</v>
      </c>
      <c r="E681" s="2" t="s">
        <v>4128</v>
      </c>
      <c r="F681" s="5"/>
      <c r="G681" s="4">
        <v>0</v>
      </c>
      <c r="H681" s="4"/>
      <c r="I681" s="2" t="s">
        <v>24</v>
      </c>
      <c r="J681" s="2">
        <v>230</v>
      </c>
      <c r="K681" s="2">
        <v>1.5</v>
      </c>
      <c r="L681" s="2">
        <v>0</v>
      </c>
      <c r="M681" s="2">
        <v>345</v>
      </c>
    </row>
    <row r="682" spans="1:13" x14ac:dyDescent="0.2">
      <c r="A682" s="2" t="s">
        <v>453</v>
      </c>
      <c r="B682" s="2" t="s">
        <v>454</v>
      </c>
      <c r="C682" s="2" t="s">
        <v>19</v>
      </c>
      <c r="D682" s="2" t="s">
        <v>52</v>
      </c>
      <c r="E682" s="2" t="s">
        <v>4128</v>
      </c>
      <c r="F682" s="5"/>
      <c r="G682" s="4">
        <v>0</v>
      </c>
      <c r="H682" s="4"/>
      <c r="I682" s="2" t="s">
        <v>24</v>
      </c>
      <c r="J682" s="2">
        <v>230</v>
      </c>
      <c r="K682" s="2">
        <v>1.5</v>
      </c>
      <c r="L682" s="2">
        <v>210</v>
      </c>
      <c r="M682" s="2">
        <v>135</v>
      </c>
    </row>
    <row r="683" spans="1:13" x14ac:dyDescent="0.2">
      <c r="A683" s="2" t="s">
        <v>161</v>
      </c>
      <c r="B683" s="2" t="s">
        <v>162</v>
      </c>
      <c r="C683" s="2" t="s">
        <v>54</v>
      </c>
      <c r="D683" s="2" t="s">
        <v>52</v>
      </c>
      <c r="E683" s="2" t="s">
        <v>4128</v>
      </c>
      <c r="F683" s="5"/>
      <c r="G683" s="4">
        <v>0</v>
      </c>
      <c r="H683" s="4"/>
      <c r="I683" s="2" t="s">
        <v>24</v>
      </c>
      <c r="J683" s="2">
        <v>230</v>
      </c>
      <c r="K683" s="2">
        <v>1.5</v>
      </c>
      <c r="L683" s="2">
        <v>345</v>
      </c>
      <c r="M683" s="2">
        <v>0</v>
      </c>
    </row>
    <row r="684" spans="1:13" x14ac:dyDescent="0.2">
      <c r="A684" s="2" t="s">
        <v>157</v>
      </c>
      <c r="B684" s="2" t="s">
        <v>158</v>
      </c>
      <c r="C684" s="2" t="s">
        <v>94</v>
      </c>
      <c r="D684" s="2" t="s">
        <v>52</v>
      </c>
      <c r="E684" s="2" t="s">
        <v>4128</v>
      </c>
      <c r="F684" s="5"/>
      <c r="G684" s="4">
        <v>0</v>
      </c>
      <c r="H684" s="4"/>
      <c r="I684" s="2" t="s">
        <v>24</v>
      </c>
      <c r="J684" s="2">
        <v>230</v>
      </c>
      <c r="K684" s="2">
        <v>1.5</v>
      </c>
      <c r="L684" s="2">
        <v>600</v>
      </c>
      <c r="M684" s="2">
        <v>0</v>
      </c>
    </row>
    <row r="685" spans="1:13" x14ac:dyDescent="0.2">
      <c r="A685" s="2" t="s">
        <v>713</v>
      </c>
      <c r="B685" s="2" t="s">
        <v>714</v>
      </c>
      <c r="C685" s="2" t="s">
        <v>94</v>
      </c>
      <c r="D685" s="2" t="s">
        <v>52</v>
      </c>
      <c r="E685" s="2" t="s">
        <v>4128</v>
      </c>
      <c r="F685" s="5"/>
      <c r="G685" s="4">
        <v>0</v>
      </c>
      <c r="H685" s="4"/>
      <c r="I685" s="2" t="s">
        <v>24</v>
      </c>
      <c r="J685" s="2">
        <v>230</v>
      </c>
      <c r="K685" s="2">
        <v>1.5</v>
      </c>
      <c r="L685" s="2">
        <v>0</v>
      </c>
      <c r="M685" s="2">
        <v>345</v>
      </c>
    </row>
    <row r="686" spans="1:13" x14ac:dyDescent="0.2">
      <c r="A686" s="2" t="s">
        <v>173</v>
      </c>
      <c r="B686" s="2" t="s">
        <v>174</v>
      </c>
      <c r="C686" s="2" t="s">
        <v>4125</v>
      </c>
      <c r="D686" s="2" t="s">
        <v>52</v>
      </c>
      <c r="E686" s="2" t="s">
        <v>4128</v>
      </c>
      <c r="F686" s="5"/>
      <c r="G686" s="4">
        <v>0</v>
      </c>
      <c r="H686" s="4"/>
      <c r="I686" s="2" t="s">
        <v>24</v>
      </c>
      <c r="J686" s="2">
        <v>230</v>
      </c>
      <c r="K686" s="2">
        <v>1.5</v>
      </c>
      <c r="L686" s="2">
        <v>210</v>
      </c>
      <c r="M686" s="2">
        <v>135</v>
      </c>
    </row>
    <row r="687" spans="1:13" x14ac:dyDescent="0.2">
      <c r="A687" s="4" t="s">
        <v>1173</v>
      </c>
      <c r="B687" s="4" t="s">
        <v>1174</v>
      </c>
      <c r="C687" s="4" t="s">
        <v>4124</v>
      </c>
      <c r="D687" s="4" t="s">
        <v>63</v>
      </c>
      <c r="E687" s="4" t="s">
        <v>88</v>
      </c>
      <c r="F687" s="5"/>
      <c r="G687" s="4">
        <v>0</v>
      </c>
      <c r="H687" s="4"/>
      <c r="I687" s="4" t="s">
        <v>24</v>
      </c>
      <c r="J687" s="4">
        <v>230</v>
      </c>
      <c r="K687" s="4">
        <v>1.5</v>
      </c>
      <c r="L687" s="4">
        <v>345</v>
      </c>
      <c r="M687" s="4">
        <v>0</v>
      </c>
    </row>
    <row r="688" spans="1:13" x14ac:dyDescent="0.2">
      <c r="A688" s="2" t="s">
        <v>3694</v>
      </c>
      <c r="B688" s="2" t="s">
        <v>3695</v>
      </c>
      <c r="C688" s="2" t="s">
        <v>94</v>
      </c>
      <c r="D688" s="2" t="s">
        <v>52</v>
      </c>
      <c r="E688" s="2" t="s">
        <v>4128</v>
      </c>
      <c r="F688" s="5"/>
      <c r="G688" s="4">
        <v>0</v>
      </c>
      <c r="H688" s="4"/>
      <c r="I688" s="2" t="s">
        <v>24</v>
      </c>
      <c r="J688" s="2">
        <v>230</v>
      </c>
      <c r="K688" s="2">
        <v>1.5</v>
      </c>
      <c r="L688" s="2">
        <v>0</v>
      </c>
      <c r="M688" s="2">
        <v>345</v>
      </c>
    </row>
    <row r="689" spans="1:13" x14ac:dyDescent="0.2">
      <c r="A689" s="2" t="s">
        <v>4048</v>
      </c>
      <c r="B689" s="2" t="s">
        <v>4049</v>
      </c>
      <c r="C689" s="2" t="s">
        <v>54</v>
      </c>
      <c r="D689" s="2" t="s">
        <v>52</v>
      </c>
      <c r="E689" s="2" t="s">
        <v>4128</v>
      </c>
      <c r="F689" s="5"/>
      <c r="G689" s="4">
        <v>0</v>
      </c>
      <c r="H689" s="4"/>
      <c r="I689" s="2" t="s">
        <v>24</v>
      </c>
      <c r="J689" s="2">
        <v>230</v>
      </c>
      <c r="K689" s="2">
        <v>1.5</v>
      </c>
      <c r="L689" s="2">
        <v>0</v>
      </c>
      <c r="M689" s="2">
        <v>345</v>
      </c>
    </row>
    <row r="690" spans="1:13" x14ac:dyDescent="0.2">
      <c r="A690" s="4" t="s">
        <v>537</v>
      </c>
      <c r="B690" s="4" t="s">
        <v>538</v>
      </c>
      <c r="C690" s="4" t="s">
        <v>4124</v>
      </c>
      <c r="D690" s="4" t="s">
        <v>52</v>
      </c>
      <c r="E690" s="4" t="s">
        <v>88</v>
      </c>
      <c r="F690" s="5"/>
      <c r="G690" s="4">
        <v>0</v>
      </c>
      <c r="H690" s="4"/>
      <c r="I690" s="4" t="s">
        <v>24</v>
      </c>
      <c r="J690" s="4">
        <v>230</v>
      </c>
      <c r="K690" s="4">
        <v>1.5</v>
      </c>
      <c r="L690" s="4">
        <v>600</v>
      </c>
      <c r="M690" s="4">
        <v>0</v>
      </c>
    </row>
    <row r="691" spans="1:13" x14ac:dyDescent="0.2">
      <c r="A691" s="2" t="s">
        <v>4050</v>
      </c>
      <c r="B691" s="2" t="s">
        <v>4051</v>
      </c>
      <c r="C691" s="2" t="s">
        <v>592</v>
      </c>
      <c r="D691" s="2" t="s">
        <v>52</v>
      </c>
      <c r="E691" s="2" t="s">
        <v>4128</v>
      </c>
      <c r="F691" s="5"/>
      <c r="G691" s="4">
        <v>0</v>
      </c>
      <c r="H691" s="4"/>
      <c r="I691" s="2" t="s">
        <v>24</v>
      </c>
      <c r="J691" s="2">
        <v>230</v>
      </c>
      <c r="K691" s="2">
        <v>1.5</v>
      </c>
      <c r="L691" s="2">
        <v>0</v>
      </c>
      <c r="M691" s="2">
        <v>345</v>
      </c>
    </row>
    <row r="692" spans="1:13" x14ac:dyDescent="0.2">
      <c r="A692" s="2" t="s">
        <v>799</v>
      </c>
      <c r="B692" s="2" t="s">
        <v>800</v>
      </c>
      <c r="C692" s="2" t="s">
        <v>19</v>
      </c>
      <c r="D692" s="2" t="s">
        <v>52</v>
      </c>
      <c r="E692" s="2" t="s">
        <v>4128</v>
      </c>
      <c r="F692" s="5"/>
      <c r="G692" s="4">
        <v>0</v>
      </c>
      <c r="H692" s="4"/>
      <c r="I692" s="2" t="s">
        <v>24</v>
      </c>
      <c r="J692" s="2">
        <v>230</v>
      </c>
      <c r="K692" s="2">
        <v>1.5</v>
      </c>
      <c r="L692" s="2">
        <v>0</v>
      </c>
      <c r="M692" s="2">
        <v>345</v>
      </c>
    </row>
    <row r="693" spans="1:13" x14ac:dyDescent="0.2">
      <c r="A693" s="2" t="s">
        <v>1079</v>
      </c>
      <c r="B693" s="2" t="s">
        <v>1080</v>
      </c>
      <c r="C693" s="2" t="s">
        <v>1366</v>
      </c>
      <c r="D693" s="2" t="s">
        <v>52</v>
      </c>
      <c r="E693" s="2" t="s">
        <v>4128</v>
      </c>
      <c r="F693" s="5"/>
      <c r="G693" s="4">
        <v>0</v>
      </c>
      <c r="H693" s="4"/>
      <c r="I693" s="2" t="s">
        <v>24</v>
      </c>
      <c r="J693" s="2">
        <v>230</v>
      </c>
      <c r="K693" s="2">
        <v>1.5</v>
      </c>
      <c r="L693" s="2">
        <v>210</v>
      </c>
      <c r="M693" s="2">
        <v>135</v>
      </c>
    </row>
    <row r="694" spans="1:13" x14ac:dyDescent="0.2">
      <c r="A694" s="2" t="s">
        <v>837</v>
      </c>
      <c r="B694" s="2" t="s">
        <v>838</v>
      </c>
      <c r="C694" s="2" t="s">
        <v>91</v>
      </c>
      <c r="D694" s="2" t="s">
        <v>52</v>
      </c>
      <c r="E694" s="2" t="s">
        <v>4128</v>
      </c>
      <c r="F694" s="5"/>
      <c r="G694" s="4">
        <v>0</v>
      </c>
      <c r="H694" s="4"/>
      <c r="I694" s="2" t="s">
        <v>24</v>
      </c>
      <c r="J694" s="2">
        <v>230</v>
      </c>
      <c r="K694" s="2">
        <v>1.5</v>
      </c>
      <c r="L694" s="2">
        <v>0</v>
      </c>
      <c r="M694" s="2">
        <v>345</v>
      </c>
    </row>
    <row r="695" spans="1:13" x14ac:dyDescent="0.2">
      <c r="A695" s="2" t="s">
        <v>863</v>
      </c>
      <c r="B695" s="2" t="s">
        <v>864</v>
      </c>
      <c r="C695" s="2" t="s">
        <v>91</v>
      </c>
      <c r="D695" s="2" t="s">
        <v>52</v>
      </c>
      <c r="E695" s="2" t="s">
        <v>4128</v>
      </c>
      <c r="F695" s="5"/>
      <c r="G695" s="4">
        <v>0</v>
      </c>
      <c r="H695" s="4"/>
      <c r="I695" s="2" t="s">
        <v>24</v>
      </c>
      <c r="J695" s="2">
        <v>230</v>
      </c>
      <c r="K695" s="2">
        <v>1.5</v>
      </c>
      <c r="L695" s="2">
        <v>0</v>
      </c>
      <c r="M695" s="2">
        <v>345</v>
      </c>
    </row>
    <row r="696" spans="1:13" x14ac:dyDescent="0.2">
      <c r="A696" s="2" t="s">
        <v>897</v>
      </c>
      <c r="B696" s="2" t="s">
        <v>898</v>
      </c>
      <c r="C696" s="2" t="s">
        <v>592</v>
      </c>
      <c r="D696" s="2" t="s">
        <v>52</v>
      </c>
      <c r="E696" s="2" t="s">
        <v>4128</v>
      </c>
      <c r="F696" s="5"/>
      <c r="G696" s="4">
        <v>0</v>
      </c>
      <c r="H696" s="4"/>
      <c r="I696" s="2" t="s">
        <v>24</v>
      </c>
      <c r="J696" s="2">
        <v>230</v>
      </c>
      <c r="K696" s="2">
        <v>1.5</v>
      </c>
      <c r="L696" s="2">
        <v>0</v>
      </c>
      <c r="M696" s="2">
        <v>345</v>
      </c>
    </row>
    <row r="697" spans="1:13" x14ac:dyDescent="0.2">
      <c r="A697" s="2" t="s">
        <v>307</v>
      </c>
      <c r="B697" s="2" t="s">
        <v>308</v>
      </c>
      <c r="C697" s="2" t="s">
        <v>1366</v>
      </c>
      <c r="D697" s="2" t="s">
        <v>52</v>
      </c>
      <c r="E697" s="2" t="s">
        <v>4128</v>
      </c>
      <c r="F697" s="5"/>
      <c r="G697" s="4">
        <v>0</v>
      </c>
      <c r="H697" s="4"/>
      <c r="I697" s="2" t="s">
        <v>24</v>
      </c>
      <c r="J697" s="2">
        <v>230</v>
      </c>
      <c r="K697" s="2">
        <v>1.5</v>
      </c>
      <c r="L697" s="2">
        <v>210</v>
      </c>
      <c r="M697" s="2">
        <v>135</v>
      </c>
    </row>
    <row r="698" spans="1:13" x14ac:dyDescent="0.2">
      <c r="A698" s="2" t="s">
        <v>951</v>
      </c>
      <c r="B698" s="2" t="s">
        <v>952</v>
      </c>
      <c r="C698" s="2" t="s">
        <v>7</v>
      </c>
      <c r="D698" s="2" t="s">
        <v>52</v>
      </c>
      <c r="E698" s="2" t="s">
        <v>4128</v>
      </c>
      <c r="F698" s="5"/>
      <c r="G698" s="4">
        <v>0</v>
      </c>
      <c r="H698" s="4"/>
      <c r="I698" s="2" t="s">
        <v>24</v>
      </c>
      <c r="J698" s="2">
        <v>230</v>
      </c>
      <c r="K698" s="2">
        <v>1.5</v>
      </c>
      <c r="L698" s="2">
        <v>0</v>
      </c>
      <c r="M698" s="2">
        <v>345</v>
      </c>
    </row>
    <row r="699" spans="1:13" x14ac:dyDescent="0.2">
      <c r="A699" s="2" t="s">
        <v>3696</v>
      </c>
      <c r="B699" s="2" t="s">
        <v>3697</v>
      </c>
      <c r="C699" s="2" t="s">
        <v>7</v>
      </c>
      <c r="D699" s="2" t="s">
        <v>52</v>
      </c>
      <c r="E699" s="2" t="s">
        <v>4128</v>
      </c>
      <c r="F699" s="5"/>
      <c r="G699" s="4">
        <v>0</v>
      </c>
      <c r="H699" s="4"/>
      <c r="I699" s="2" t="s">
        <v>24</v>
      </c>
      <c r="J699" s="2">
        <v>230</v>
      </c>
      <c r="K699" s="2">
        <v>1.5</v>
      </c>
      <c r="L699" s="2">
        <v>0</v>
      </c>
      <c r="M699" s="2">
        <v>345</v>
      </c>
    </row>
    <row r="700" spans="1:13" x14ac:dyDescent="0.2">
      <c r="A700" s="2" t="s">
        <v>4052</v>
      </c>
      <c r="B700" s="2" t="s">
        <v>4053</v>
      </c>
      <c r="C700" s="2" t="s">
        <v>66</v>
      </c>
      <c r="D700" s="2" t="s">
        <v>52</v>
      </c>
      <c r="E700" s="2" t="s">
        <v>4128</v>
      </c>
      <c r="F700" s="5"/>
      <c r="G700" s="4">
        <v>0</v>
      </c>
      <c r="H700" s="4"/>
      <c r="I700" s="2" t="s">
        <v>24</v>
      </c>
      <c r="J700" s="2">
        <v>230</v>
      </c>
      <c r="K700" s="2">
        <v>1.5</v>
      </c>
      <c r="L700" s="2">
        <v>0</v>
      </c>
      <c r="M700" s="2">
        <v>345</v>
      </c>
    </row>
    <row r="701" spans="1:13" x14ac:dyDescent="0.2">
      <c r="A701" s="2" t="s">
        <v>1247</v>
      </c>
      <c r="B701" s="2" t="s">
        <v>1248</v>
      </c>
      <c r="C701" s="2" t="s">
        <v>7</v>
      </c>
      <c r="D701" s="2" t="s">
        <v>52</v>
      </c>
      <c r="E701" s="2" t="s">
        <v>4128</v>
      </c>
      <c r="F701" s="5"/>
      <c r="G701" s="4">
        <v>0</v>
      </c>
      <c r="H701" s="4"/>
      <c r="I701" s="2" t="s">
        <v>24</v>
      </c>
      <c r="J701" s="2">
        <v>230</v>
      </c>
      <c r="K701" s="2">
        <v>1.5</v>
      </c>
      <c r="L701" s="2">
        <v>345</v>
      </c>
      <c r="M701" s="2">
        <v>0</v>
      </c>
    </row>
    <row r="702" spans="1:13" x14ac:dyDescent="0.2">
      <c r="A702" s="2" t="s">
        <v>989</v>
      </c>
      <c r="B702" s="2" t="s">
        <v>990</v>
      </c>
      <c r="C702" s="2" t="s">
        <v>54</v>
      </c>
      <c r="D702" s="2" t="s">
        <v>52</v>
      </c>
      <c r="E702" s="2" t="s">
        <v>4128</v>
      </c>
      <c r="F702" s="5"/>
      <c r="G702" s="4">
        <v>0</v>
      </c>
      <c r="H702" s="4"/>
      <c r="I702" s="2" t="s">
        <v>24</v>
      </c>
      <c r="J702" s="2">
        <v>230</v>
      </c>
      <c r="K702" s="2">
        <v>1.5</v>
      </c>
      <c r="L702" s="2">
        <v>0</v>
      </c>
      <c r="M702" s="2">
        <v>345</v>
      </c>
    </row>
    <row r="703" spans="1:13" x14ac:dyDescent="0.2">
      <c r="A703" s="2" t="s">
        <v>375</v>
      </c>
      <c r="B703" s="2" t="s">
        <v>376</v>
      </c>
      <c r="C703" s="2" t="s">
        <v>592</v>
      </c>
      <c r="D703" s="2" t="s">
        <v>52</v>
      </c>
      <c r="E703" s="2" t="s">
        <v>4128</v>
      </c>
      <c r="F703" s="5"/>
      <c r="G703" s="4">
        <v>0</v>
      </c>
      <c r="H703" s="4"/>
      <c r="I703" s="2" t="s">
        <v>24</v>
      </c>
      <c r="J703" s="2">
        <v>230</v>
      </c>
      <c r="K703" s="2">
        <v>1.5</v>
      </c>
      <c r="L703" s="2">
        <v>345</v>
      </c>
      <c r="M703" s="2">
        <v>0</v>
      </c>
    </row>
    <row r="704" spans="1:13" x14ac:dyDescent="0.2">
      <c r="A704" s="2" t="s">
        <v>545</v>
      </c>
      <c r="B704" s="2" t="s">
        <v>546</v>
      </c>
      <c r="C704" s="2" t="s">
        <v>19</v>
      </c>
      <c r="D704" s="2" t="s">
        <v>52</v>
      </c>
      <c r="E704" s="2" t="s">
        <v>4128</v>
      </c>
      <c r="F704" s="5"/>
      <c r="G704" s="4">
        <v>0</v>
      </c>
      <c r="H704" s="4"/>
      <c r="I704" s="2" t="s">
        <v>1371</v>
      </c>
      <c r="J704" s="2">
        <v>230</v>
      </c>
      <c r="K704" s="2">
        <v>1.5</v>
      </c>
      <c r="L704" s="2">
        <v>600</v>
      </c>
      <c r="M704" s="2">
        <v>0</v>
      </c>
    </row>
    <row r="705" spans="1:13" x14ac:dyDescent="0.2">
      <c r="A705" s="2" t="s">
        <v>477</v>
      </c>
      <c r="B705" s="2" t="s">
        <v>478</v>
      </c>
      <c r="C705" s="2" t="s">
        <v>94</v>
      </c>
      <c r="D705" s="2" t="s">
        <v>52</v>
      </c>
      <c r="E705" s="2" t="s">
        <v>4128</v>
      </c>
      <c r="F705" s="5"/>
      <c r="G705" s="4">
        <v>0</v>
      </c>
      <c r="H705" s="4"/>
      <c r="I705" s="2" t="s">
        <v>1371</v>
      </c>
      <c r="J705" s="2">
        <v>230</v>
      </c>
      <c r="K705" s="2">
        <v>1.5</v>
      </c>
      <c r="L705" s="2">
        <v>600</v>
      </c>
      <c r="M705" s="2">
        <v>0</v>
      </c>
    </row>
    <row r="706" spans="1:13" x14ac:dyDescent="0.2">
      <c r="A706" s="2" t="s">
        <v>569</v>
      </c>
      <c r="B706" s="2" t="s">
        <v>570</v>
      </c>
      <c r="C706" s="2" t="s">
        <v>66</v>
      </c>
      <c r="D706" s="2" t="s">
        <v>52</v>
      </c>
      <c r="E706" s="2" t="s">
        <v>4128</v>
      </c>
      <c r="F706" s="5"/>
      <c r="G706" s="4">
        <v>0</v>
      </c>
      <c r="H706" s="4"/>
      <c r="I706" s="2" t="s">
        <v>41</v>
      </c>
      <c r="J706" s="2">
        <v>230</v>
      </c>
      <c r="K706" s="2">
        <v>1.5</v>
      </c>
      <c r="L706" s="2">
        <v>600</v>
      </c>
      <c r="M706" s="2">
        <v>0</v>
      </c>
    </row>
    <row r="707" spans="1:13" x14ac:dyDescent="0.2">
      <c r="A707" s="2" t="s">
        <v>621</v>
      </c>
      <c r="B707" s="2" t="s">
        <v>622</v>
      </c>
      <c r="C707" s="2" t="s">
        <v>54</v>
      </c>
      <c r="D707" s="2" t="s">
        <v>52</v>
      </c>
      <c r="E707" s="2" t="s">
        <v>4128</v>
      </c>
      <c r="F707" s="5"/>
      <c r="G707" s="4">
        <v>0</v>
      </c>
      <c r="H707" s="4"/>
      <c r="I707" s="2" t="s">
        <v>41</v>
      </c>
      <c r="J707" s="2">
        <v>230</v>
      </c>
      <c r="K707" s="2">
        <v>1.5</v>
      </c>
      <c r="L707" s="2">
        <v>0</v>
      </c>
      <c r="M707" s="2">
        <v>345</v>
      </c>
    </row>
    <row r="708" spans="1:13" x14ac:dyDescent="0.2">
      <c r="A708" s="2" t="s">
        <v>615</v>
      </c>
      <c r="B708" s="2" t="s">
        <v>616</v>
      </c>
      <c r="C708" s="2" t="s">
        <v>19</v>
      </c>
      <c r="D708" s="2" t="s">
        <v>52</v>
      </c>
      <c r="E708" s="2" t="s">
        <v>4128</v>
      </c>
      <c r="F708" s="5"/>
      <c r="G708" s="4">
        <v>0</v>
      </c>
      <c r="H708" s="4"/>
      <c r="I708" s="2" t="s">
        <v>41</v>
      </c>
      <c r="J708" s="2">
        <v>230</v>
      </c>
      <c r="K708" s="2">
        <v>1.5</v>
      </c>
      <c r="L708" s="2">
        <v>0</v>
      </c>
      <c r="M708" s="2">
        <v>345</v>
      </c>
    </row>
    <row r="709" spans="1:13" x14ac:dyDescent="0.2">
      <c r="A709" s="2" t="s">
        <v>611</v>
      </c>
      <c r="B709" s="2" t="s">
        <v>612</v>
      </c>
      <c r="C709" s="2" t="s">
        <v>19</v>
      </c>
      <c r="D709" s="2" t="s">
        <v>52</v>
      </c>
      <c r="E709" s="2" t="s">
        <v>4128</v>
      </c>
      <c r="F709" s="5"/>
      <c r="G709" s="4">
        <v>0</v>
      </c>
      <c r="H709" s="4"/>
      <c r="I709" s="2" t="s">
        <v>41</v>
      </c>
      <c r="J709" s="2">
        <v>230</v>
      </c>
      <c r="K709" s="2">
        <v>1.5</v>
      </c>
      <c r="L709" s="2">
        <v>0</v>
      </c>
      <c r="M709" s="2">
        <v>345</v>
      </c>
    </row>
    <row r="710" spans="1:13" x14ac:dyDescent="0.2">
      <c r="A710" s="2" t="s">
        <v>627</v>
      </c>
      <c r="B710" s="2" t="s">
        <v>628</v>
      </c>
      <c r="C710" s="2" t="s">
        <v>4125</v>
      </c>
      <c r="D710" s="2" t="s">
        <v>52</v>
      </c>
      <c r="E710" s="2" t="s">
        <v>4128</v>
      </c>
      <c r="F710" s="5"/>
      <c r="G710" s="4">
        <v>0</v>
      </c>
      <c r="H710" s="4"/>
      <c r="I710" s="2" t="s">
        <v>41</v>
      </c>
      <c r="J710" s="2">
        <v>230</v>
      </c>
      <c r="K710" s="2">
        <v>1.5</v>
      </c>
      <c r="L710" s="2">
        <v>0</v>
      </c>
      <c r="M710" s="2">
        <v>345</v>
      </c>
    </row>
    <row r="711" spans="1:13" x14ac:dyDescent="0.2">
      <c r="A711" s="2" t="s">
        <v>1265</v>
      </c>
      <c r="B711" s="2" t="s">
        <v>1266</v>
      </c>
      <c r="C711" s="2" t="s">
        <v>592</v>
      </c>
      <c r="D711" s="2" t="s">
        <v>52</v>
      </c>
      <c r="E711" s="2" t="s">
        <v>4128</v>
      </c>
      <c r="F711" s="5"/>
      <c r="G711" s="4">
        <v>0</v>
      </c>
      <c r="H711" s="4"/>
      <c r="I711" s="2" t="s">
        <v>41</v>
      </c>
      <c r="J711" s="2">
        <v>230</v>
      </c>
      <c r="K711" s="2">
        <v>1.5</v>
      </c>
      <c r="L711" s="2">
        <v>600</v>
      </c>
      <c r="M711" s="2">
        <v>0</v>
      </c>
    </row>
    <row r="712" spans="1:13" x14ac:dyDescent="0.2">
      <c r="A712" s="2" t="s">
        <v>401</v>
      </c>
      <c r="B712" s="2" t="s">
        <v>402</v>
      </c>
      <c r="C712" s="2" t="s">
        <v>94</v>
      </c>
      <c r="D712" s="2" t="s">
        <v>52</v>
      </c>
      <c r="E712" s="2" t="s">
        <v>4128</v>
      </c>
      <c r="F712" s="5"/>
      <c r="G712" s="4">
        <v>0</v>
      </c>
      <c r="H712" s="4"/>
      <c r="I712" s="2" t="s">
        <v>41</v>
      </c>
      <c r="J712" s="2">
        <v>230</v>
      </c>
      <c r="K712" s="2">
        <v>1.5</v>
      </c>
      <c r="L712" s="2">
        <v>210</v>
      </c>
      <c r="M712" s="2">
        <v>135</v>
      </c>
    </row>
    <row r="713" spans="1:13" x14ac:dyDescent="0.2">
      <c r="A713" s="2" t="s">
        <v>1021</v>
      </c>
      <c r="B713" s="2" t="s">
        <v>1022</v>
      </c>
      <c r="C713" s="2" t="s">
        <v>66</v>
      </c>
      <c r="D713" s="2" t="s">
        <v>52</v>
      </c>
      <c r="E713" s="2" t="s">
        <v>4128</v>
      </c>
      <c r="F713" s="5"/>
      <c r="G713" s="4">
        <v>0</v>
      </c>
      <c r="H713" s="4"/>
      <c r="I713" s="2" t="s">
        <v>41</v>
      </c>
      <c r="J713" s="2">
        <v>230</v>
      </c>
      <c r="K713" s="2">
        <v>1.5</v>
      </c>
      <c r="L713" s="2">
        <v>210</v>
      </c>
      <c r="M713" s="2">
        <v>135</v>
      </c>
    </row>
    <row r="714" spans="1:13" x14ac:dyDescent="0.2">
      <c r="A714" s="2" t="s">
        <v>663</v>
      </c>
      <c r="B714" s="2" t="s">
        <v>664</v>
      </c>
      <c r="C714" s="2" t="s">
        <v>66</v>
      </c>
      <c r="D714" s="2" t="s">
        <v>52</v>
      </c>
      <c r="E714" s="2" t="s">
        <v>4128</v>
      </c>
      <c r="F714" s="5"/>
      <c r="G714" s="4">
        <v>0</v>
      </c>
      <c r="H714" s="4"/>
      <c r="I714" s="2" t="s">
        <v>41</v>
      </c>
      <c r="J714" s="2">
        <v>230</v>
      </c>
      <c r="K714" s="2">
        <v>1.5</v>
      </c>
      <c r="L714" s="2">
        <v>0</v>
      </c>
      <c r="M714" s="2">
        <v>345</v>
      </c>
    </row>
    <row r="715" spans="1:13" x14ac:dyDescent="0.2">
      <c r="A715" s="2" t="s">
        <v>1171</v>
      </c>
      <c r="B715" s="2" t="s">
        <v>1172</v>
      </c>
      <c r="C715" s="2" t="s">
        <v>7</v>
      </c>
      <c r="D715" s="2" t="s">
        <v>52</v>
      </c>
      <c r="E715" s="2" t="s">
        <v>4128</v>
      </c>
      <c r="F715" s="5"/>
      <c r="G715" s="4">
        <v>0</v>
      </c>
      <c r="H715" s="4"/>
      <c r="I715" s="2" t="s">
        <v>41</v>
      </c>
      <c r="J715" s="2">
        <v>230</v>
      </c>
      <c r="K715" s="2">
        <v>1.5</v>
      </c>
      <c r="L715" s="2">
        <v>345</v>
      </c>
      <c r="M715" s="2">
        <v>0</v>
      </c>
    </row>
    <row r="716" spans="1:13" x14ac:dyDescent="0.2">
      <c r="A716" s="2" t="s">
        <v>1251</v>
      </c>
      <c r="B716" s="2" t="s">
        <v>1252</v>
      </c>
      <c r="C716" s="2" t="s">
        <v>91</v>
      </c>
      <c r="D716" s="2" t="s">
        <v>52</v>
      </c>
      <c r="E716" s="2" t="s">
        <v>4128</v>
      </c>
      <c r="F716" s="5"/>
      <c r="G716" s="4">
        <v>0</v>
      </c>
      <c r="H716" s="4"/>
      <c r="I716" s="2" t="s">
        <v>41</v>
      </c>
      <c r="J716" s="2">
        <v>230</v>
      </c>
      <c r="K716" s="2">
        <v>1.5</v>
      </c>
      <c r="L716" s="2">
        <v>345</v>
      </c>
      <c r="M716" s="2">
        <v>0</v>
      </c>
    </row>
    <row r="717" spans="1:13" x14ac:dyDescent="0.2">
      <c r="A717" s="4" t="s">
        <v>1145</v>
      </c>
      <c r="B717" s="4" t="s">
        <v>1146</v>
      </c>
      <c r="C717" s="4" t="s">
        <v>4124</v>
      </c>
      <c r="D717" s="4" t="s">
        <v>63</v>
      </c>
      <c r="E717" s="4" t="s">
        <v>88</v>
      </c>
      <c r="F717" s="5"/>
      <c r="G717" s="4">
        <v>0</v>
      </c>
      <c r="H717" s="4"/>
      <c r="I717" s="4" t="s">
        <v>41</v>
      </c>
      <c r="J717" s="4">
        <v>230</v>
      </c>
      <c r="K717" s="4">
        <v>1.5</v>
      </c>
      <c r="L717" s="4">
        <v>210</v>
      </c>
      <c r="M717" s="4">
        <v>135</v>
      </c>
    </row>
    <row r="718" spans="1:13" x14ac:dyDescent="0.2">
      <c r="A718" s="2" t="s">
        <v>1147</v>
      </c>
      <c r="B718" s="2" t="s">
        <v>1148</v>
      </c>
      <c r="C718" s="2" t="s">
        <v>94</v>
      </c>
      <c r="D718" s="2" t="s">
        <v>52</v>
      </c>
      <c r="E718" s="2" t="s">
        <v>4128</v>
      </c>
      <c r="F718" s="5"/>
      <c r="G718" s="4">
        <v>0</v>
      </c>
      <c r="H718" s="4"/>
      <c r="I718" s="2" t="s">
        <v>41</v>
      </c>
      <c r="J718" s="2">
        <v>230</v>
      </c>
      <c r="K718" s="2">
        <v>1.5</v>
      </c>
      <c r="L718" s="2">
        <v>210</v>
      </c>
      <c r="M718" s="2">
        <v>135</v>
      </c>
    </row>
    <row r="719" spans="1:13" x14ac:dyDescent="0.2">
      <c r="A719" s="2" t="s">
        <v>501</v>
      </c>
      <c r="B719" s="2" t="s">
        <v>502</v>
      </c>
      <c r="C719" s="2" t="s">
        <v>7</v>
      </c>
      <c r="D719" s="2" t="s">
        <v>52</v>
      </c>
      <c r="E719" s="2" t="s">
        <v>4128</v>
      </c>
      <c r="F719" s="5"/>
      <c r="G719" s="4">
        <v>0</v>
      </c>
      <c r="H719" s="4"/>
      <c r="I719" s="2" t="s">
        <v>41</v>
      </c>
      <c r="J719" s="2">
        <v>230</v>
      </c>
      <c r="K719" s="2">
        <v>1.5</v>
      </c>
      <c r="L719" s="2">
        <v>600</v>
      </c>
      <c r="M719" s="2">
        <v>0</v>
      </c>
    </row>
    <row r="720" spans="1:13" x14ac:dyDescent="0.2">
      <c r="A720" s="2" t="s">
        <v>405</v>
      </c>
      <c r="B720" s="2" t="s">
        <v>406</v>
      </c>
      <c r="C720" s="2" t="s">
        <v>94</v>
      </c>
      <c r="D720" s="2" t="s">
        <v>52</v>
      </c>
      <c r="E720" s="2" t="s">
        <v>4128</v>
      </c>
      <c r="F720" s="5"/>
      <c r="G720" s="4">
        <v>0</v>
      </c>
      <c r="H720" s="4"/>
      <c r="I720" s="2" t="s">
        <v>41</v>
      </c>
      <c r="J720" s="2">
        <v>230</v>
      </c>
      <c r="K720" s="2">
        <v>1.5</v>
      </c>
      <c r="L720" s="2">
        <v>210</v>
      </c>
      <c r="M720" s="2">
        <v>135</v>
      </c>
    </row>
    <row r="721" spans="1:13" x14ac:dyDescent="0.2">
      <c r="A721" s="2" t="s">
        <v>779</v>
      </c>
      <c r="B721" s="2" t="s">
        <v>780</v>
      </c>
      <c r="C721" s="2" t="s">
        <v>4125</v>
      </c>
      <c r="D721" s="2" t="s">
        <v>52</v>
      </c>
      <c r="E721" s="2" t="s">
        <v>4128</v>
      </c>
      <c r="F721" s="5"/>
      <c r="G721" s="4">
        <v>0</v>
      </c>
      <c r="H721" s="4"/>
      <c r="I721" s="2" t="s">
        <v>41</v>
      </c>
      <c r="J721" s="2">
        <v>230</v>
      </c>
      <c r="K721" s="2">
        <v>1.5</v>
      </c>
      <c r="L721" s="2">
        <v>0</v>
      </c>
      <c r="M721" s="2">
        <v>345</v>
      </c>
    </row>
    <row r="722" spans="1:13" x14ac:dyDescent="0.2">
      <c r="A722" s="2" t="s">
        <v>1203</v>
      </c>
      <c r="B722" s="2" t="s">
        <v>1204</v>
      </c>
      <c r="C722" s="2" t="s">
        <v>19</v>
      </c>
      <c r="D722" s="2" t="s">
        <v>52</v>
      </c>
      <c r="E722" s="2" t="s">
        <v>4128</v>
      </c>
      <c r="F722" s="5"/>
      <c r="G722" s="4">
        <v>0</v>
      </c>
      <c r="H722" s="4"/>
      <c r="I722" s="2" t="s">
        <v>41</v>
      </c>
      <c r="J722" s="2">
        <v>230</v>
      </c>
      <c r="K722" s="2">
        <v>1.5</v>
      </c>
      <c r="L722" s="2">
        <v>600</v>
      </c>
      <c r="M722" s="2">
        <v>0</v>
      </c>
    </row>
    <row r="723" spans="1:13" x14ac:dyDescent="0.2">
      <c r="A723" s="2" t="s">
        <v>759</v>
      </c>
      <c r="B723" s="2" t="s">
        <v>760</v>
      </c>
      <c r="C723" s="2" t="s">
        <v>66</v>
      </c>
      <c r="D723" s="2" t="s">
        <v>52</v>
      </c>
      <c r="E723" s="2" t="s">
        <v>4128</v>
      </c>
      <c r="F723" s="5">
        <v>45960</v>
      </c>
      <c r="G723" s="4">
        <v>800</v>
      </c>
      <c r="H723" s="4"/>
      <c r="I723" s="2" t="s">
        <v>41</v>
      </c>
      <c r="J723" s="2">
        <v>230</v>
      </c>
      <c r="K723" s="2">
        <v>1.5</v>
      </c>
      <c r="L723" s="2">
        <v>0</v>
      </c>
      <c r="M723" s="2">
        <v>345</v>
      </c>
    </row>
    <row r="724" spans="1:13" x14ac:dyDescent="0.2">
      <c r="A724" s="2" t="s">
        <v>3698</v>
      </c>
      <c r="B724" s="2" t="s">
        <v>3699</v>
      </c>
      <c r="C724" s="2" t="s">
        <v>94</v>
      </c>
      <c r="D724" s="2" t="s">
        <v>52</v>
      </c>
      <c r="E724" s="2" t="s">
        <v>4128</v>
      </c>
      <c r="F724" s="5"/>
      <c r="G724" s="4">
        <v>0</v>
      </c>
      <c r="H724" s="4"/>
      <c r="I724" s="2" t="s">
        <v>41</v>
      </c>
      <c r="J724" s="2">
        <v>230</v>
      </c>
      <c r="K724" s="2">
        <v>1.5</v>
      </c>
      <c r="L724" s="2">
        <v>0</v>
      </c>
      <c r="M724" s="2">
        <v>345</v>
      </c>
    </row>
    <row r="725" spans="1:13" x14ac:dyDescent="0.2">
      <c r="A725" s="2" t="s">
        <v>1241</v>
      </c>
      <c r="B725" s="2" t="s">
        <v>1242</v>
      </c>
      <c r="C725" s="2" t="s">
        <v>7</v>
      </c>
      <c r="D725" s="2" t="s">
        <v>52</v>
      </c>
      <c r="E725" s="2" t="s">
        <v>4128</v>
      </c>
      <c r="F725" s="5"/>
      <c r="G725" s="4">
        <v>0</v>
      </c>
      <c r="H725" s="4"/>
      <c r="I725" s="2" t="s">
        <v>41</v>
      </c>
      <c r="J725" s="2">
        <v>230</v>
      </c>
      <c r="K725" s="2">
        <v>1.5</v>
      </c>
      <c r="L725" s="2">
        <v>345</v>
      </c>
      <c r="M725" s="2">
        <v>0</v>
      </c>
    </row>
    <row r="726" spans="1:13" x14ac:dyDescent="0.2">
      <c r="A726" s="2" t="s">
        <v>811</v>
      </c>
      <c r="B726" s="2" t="s">
        <v>812</v>
      </c>
      <c r="C726" s="2" t="s">
        <v>1366</v>
      </c>
      <c r="D726" s="2" t="s">
        <v>52</v>
      </c>
      <c r="E726" s="2" t="s">
        <v>4128</v>
      </c>
      <c r="F726" s="5"/>
      <c r="G726" s="4">
        <v>0</v>
      </c>
      <c r="H726" s="4"/>
      <c r="I726" s="2" t="s">
        <v>41</v>
      </c>
      <c r="J726" s="2">
        <v>230</v>
      </c>
      <c r="K726" s="2">
        <v>1.5</v>
      </c>
      <c r="L726" s="2">
        <v>0</v>
      </c>
      <c r="M726" s="2">
        <v>345</v>
      </c>
    </row>
    <row r="727" spans="1:13" x14ac:dyDescent="0.2">
      <c r="A727" s="2" t="s">
        <v>231</v>
      </c>
      <c r="B727" s="2" t="s">
        <v>232</v>
      </c>
      <c r="C727" s="2" t="s">
        <v>19</v>
      </c>
      <c r="D727" s="2" t="s">
        <v>52</v>
      </c>
      <c r="E727" s="2" t="s">
        <v>4128</v>
      </c>
      <c r="F727" s="5"/>
      <c r="G727" s="4">
        <v>0</v>
      </c>
      <c r="H727" s="4"/>
      <c r="I727" s="2" t="s">
        <v>41</v>
      </c>
      <c r="J727" s="2">
        <v>230</v>
      </c>
      <c r="K727" s="2">
        <v>1.5</v>
      </c>
      <c r="L727" s="2">
        <v>210</v>
      </c>
      <c r="M727" s="2">
        <v>135</v>
      </c>
    </row>
    <row r="728" spans="1:13" x14ac:dyDescent="0.2">
      <c r="A728" s="2" t="s">
        <v>3700</v>
      </c>
      <c r="B728" s="2" t="s">
        <v>3701</v>
      </c>
      <c r="C728" s="2" t="s">
        <v>592</v>
      </c>
      <c r="D728" s="2" t="s">
        <v>52</v>
      </c>
      <c r="E728" s="2" t="s">
        <v>4128</v>
      </c>
      <c r="F728" s="5"/>
      <c r="G728" s="4">
        <v>0</v>
      </c>
      <c r="H728" s="4"/>
      <c r="I728" s="2" t="s">
        <v>41</v>
      </c>
      <c r="J728" s="2">
        <v>230</v>
      </c>
      <c r="K728" s="2">
        <v>1.5</v>
      </c>
      <c r="L728" s="2">
        <v>0</v>
      </c>
      <c r="M728" s="2">
        <v>345</v>
      </c>
    </row>
    <row r="729" spans="1:13" x14ac:dyDescent="0.2">
      <c r="A729" s="2" t="s">
        <v>1257</v>
      </c>
      <c r="B729" s="2" t="s">
        <v>1258</v>
      </c>
      <c r="C729" s="2" t="s">
        <v>54</v>
      </c>
      <c r="D729" s="2" t="s">
        <v>52</v>
      </c>
      <c r="E729" s="2" t="s">
        <v>4128</v>
      </c>
      <c r="F729" s="5"/>
      <c r="G729" s="4">
        <v>0</v>
      </c>
      <c r="H729" s="4"/>
      <c r="I729" s="2" t="s">
        <v>41</v>
      </c>
      <c r="J729" s="2">
        <v>230</v>
      </c>
      <c r="K729" s="2">
        <v>1.5</v>
      </c>
      <c r="L729" s="2">
        <v>345</v>
      </c>
      <c r="M729" s="2">
        <v>0</v>
      </c>
    </row>
    <row r="730" spans="1:13" x14ac:dyDescent="0.2">
      <c r="A730" s="2" t="s">
        <v>247</v>
      </c>
      <c r="B730" s="2" t="s">
        <v>248</v>
      </c>
      <c r="C730" s="2" t="s">
        <v>91</v>
      </c>
      <c r="D730" s="2" t="s">
        <v>52</v>
      </c>
      <c r="E730" s="2" t="s">
        <v>4128</v>
      </c>
      <c r="F730" s="5"/>
      <c r="G730" s="4">
        <v>0</v>
      </c>
      <c r="H730" s="4"/>
      <c r="I730" s="2" t="s">
        <v>41</v>
      </c>
      <c r="J730" s="2">
        <v>230</v>
      </c>
      <c r="K730" s="2">
        <v>1.5</v>
      </c>
      <c r="L730" s="2">
        <v>345</v>
      </c>
      <c r="M730" s="2">
        <v>0</v>
      </c>
    </row>
    <row r="731" spans="1:13" x14ac:dyDescent="0.2">
      <c r="A731" s="2" t="s">
        <v>487</v>
      </c>
      <c r="B731" s="2" t="s">
        <v>488</v>
      </c>
      <c r="C731" s="2" t="s">
        <v>54</v>
      </c>
      <c r="D731" s="2" t="s">
        <v>52</v>
      </c>
      <c r="E731" s="2" t="s">
        <v>4128</v>
      </c>
      <c r="F731" s="5"/>
      <c r="G731" s="4">
        <v>0</v>
      </c>
      <c r="H731" s="4"/>
      <c r="I731" s="2" t="s">
        <v>41</v>
      </c>
      <c r="J731" s="2">
        <v>230</v>
      </c>
      <c r="K731" s="2">
        <v>1.5</v>
      </c>
      <c r="L731" s="2">
        <v>345</v>
      </c>
      <c r="M731" s="2">
        <v>0</v>
      </c>
    </row>
    <row r="732" spans="1:13" x14ac:dyDescent="0.2">
      <c r="A732" s="2" t="s">
        <v>3702</v>
      </c>
      <c r="B732" s="2" t="s">
        <v>3703</v>
      </c>
      <c r="C732" s="2" t="s">
        <v>592</v>
      </c>
      <c r="D732" s="2" t="s">
        <v>52</v>
      </c>
      <c r="E732" s="2" t="s">
        <v>4128</v>
      </c>
      <c r="F732" s="5"/>
      <c r="G732" s="4">
        <v>0</v>
      </c>
      <c r="H732" s="4"/>
      <c r="I732" s="2" t="s">
        <v>41</v>
      </c>
      <c r="J732" s="2">
        <v>230</v>
      </c>
      <c r="K732" s="2">
        <v>1.5</v>
      </c>
      <c r="L732" s="2">
        <v>0</v>
      </c>
      <c r="M732" s="2">
        <v>345</v>
      </c>
    </row>
    <row r="733" spans="1:13" x14ac:dyDescent="0.2">
      <c r="A733" s="2" t="s">
        <v>4054</v>
      </c>
      <c r="B733" s="2" t="s">
        <v>4055</v>
      </c>
      <c r="C733" s="2" t="s">
        <v>19</v>
      </c>
      <c r="D733" s="2" t="s">
        <v>52</v>
      </c>
      <c r="E733" s="2" t="s">
        <v>4128</v>
      </c>
      <c r="F733" s="5">
        <v>45905</v>
      </c>
      <c r="G733" s="4">
        <v>0</v>
      </c>
      <c r="H733" s="4"/>
      <c r="I733" s="2" t="s">
        <v>41</v>
      </c>
      <c r="J733" s="2">
        <v>230</v>
      </c>
      <c r="K733" s="2">
        <v>1.5</v>
      </c>
      <c r="L733" s="2">
        <v>210</v>
      </c>
      <c r="M733" s="2">
        <v>135</v>
      </c>
    </row>
    <row r="734" spans="1:13" x14ac:dyDescent="0.2">
      <c r="A734" s="2" t="s">
        <v>913</v>
      </c>
      <c r="B734" s="2" t="s">
        <v>914</v>
      </c>
      <c r="C734" s="2" t="s">
        <v>7</v>
      </c>
      <c r="D734" s="2" t="s">
        <v>52</v>
      </c>
      <c r="E734" s="2" t="s">
        <v>4128</v>
      </c>
      <c r="F734" s="5"/>
      <c r="G734" s="4">
        <v>0</v>
      </c>
      <c r="H734" s="4"/>
      <c r="I734" s="2" t="s">
        <v>41</v>
      </c>
      <c r="J734" s="2">
        <v>230</v>
      </c>
      <c r="K734" s="2">
        <v>1.5</v>
      </c>
      <c r="L734" s="2">
        <v>0</v>
      </c>
      <c r="M734" s="2">
        <v>345</v>
      </c>
    </row>
    <row r="735" spans="1:13" x14ac:dyDescent="0.2">
      <c r="A735" s="2" t="s">
        <v>903</v>
      </c>
      <c r="B735" s="2" t="s">
        <v>904</v>
      </c>
      <c r="C735" s="2" t="s">
        <v>1366</v>
      </c>
      <c r="D735" s="2" t="s">
        <v>52</v>
      </c>
      <c r="E735" s="2" t="s">
        <v>4128</v>
      </c>
      <c r="F735" s="5"/>
      <c r="G735" s="4">
        <v>0</v>
      </c>
      <c r="H735" s="4"/>
      <c r="I735" s="2" t="s">
        <v>41</v>
      </c>
      <c r="J735" s="2">
        <v>230</v>
      </c>
      <c r="K735" s="2">
        <v>1.5</v>
      </c>
      <c r="L735" s="2">
        <v>0</v>
      </c>
      <c r="M735" s="2">
        <v>345</v>
      </c>
    </row>
    <row r="736" spans="1:13" x14ac:dyDescent="0.2">
      <c r="A736" s="2" t="s">
        <v>4056</v>
      </c>
      <c r="B736" s="2" t="s">
        <v>4057</v>
      </c>
      <c r="C736" s="2" t="s">
        <v>19</v>
      </c>
      <c r="D736" s="2" t="s">
        <v>52</v>
      </c>
      <c r="E736" s="2" t="s">
        <v>4128</v>
      </c>
      <c r="F736" s="5"/>
      <c r="G736" s="4">
        <v>0</v>
      </c>
      <c r="H736" s="4"/>
      <c r="I736" s="2" t="s">
        <v>41</v>
      </c>
      <c r="J736" s="2">
        <v>230</v>
      </c>
      <c r="K736" s="2">
        <v>1.5</v>
      </c>
      <c r="L736" s="2">
        <v>0</v>
      </c>
      <c r="M736" s="2">
        <v>345</v>
      </c>
    </row>
    <row r="737" spans="1:13" x14ac:dyDescent="0.2">
      <c r="A737" s="2" t="s">
        <v>1105</v>
      </c>
      <c r="B737" s="2" t="s">
        <v>1106</v>
      </c>
      <c r="C737" s="2" t="s">
        <v>94</v>
      </c>
      <c r="D737" s="2" t="s">
        <v>52</v>
      </c>
      <c r="E737" s="2" t="s">
        <v>4128</v>
      </c>
      <c r="F737" s="5"/>
      <c r="G737" s="4">
        <v>0</v>
      </c>
      <c r="H737" s="4"/>
      <c r="I737" s="2" t="s">
        <v>41</v>
      </c>
      <c r="J737" s="2">
        <v>230</v>
      </c>
      <c r="K737" s="2">
        <v>1.5</v>
      </c>
      <c r="L737" s="2">
        <v>210</v>
      </c>
      <c r="M737" s="2">
        <v>135</v>
      </c>
    </row>
    <row r="738" spans="1:13" x14ac:dyDescent="0.2">
      <c r="A738" s="2" t="s">
        <v>3704</v>
      </c>
      <c r="B738" s="2" t="s">
        <v>3705</v>
      </c>
      <c r="C738" s="2" t="s">
        <v>19</v>
      </c>
      <c r="D738" s="2" t="s">
        <v>52</v>
      </c>
      <c r="E738" s="2" t="s">
        <v>4128</v>
      </c>
      <c r="F738" s="5"/>
      <c r="G738" s="4">
        <v>0</v>
      </c>
      <c r="H738" s="4"/>
      <c r="I738" s="2" t="s">
        <v>41</v>
      </c>
      <c r="J738" s="2">
        <v>230</v>
      </c>
      <c r="K738" s="2">
        <v>1.5</v>
      </c>
      <c r="L738" s="2">
        <v>0</v>
      </c>
      <c r="M738" s="2">
        <v>345</v>
      </c>
    </row>
    <row r="739" spans="1:13" x14ac:dyDescent="0.2">
      <c r="A739" s="2" t="s">
        <v>325</v>
      </c>
      <c r="B739" s="2" t="s">
        <v>326</v>
      </c>
      <c r="C739" s="2" t="s">
        <v>7</v>
      </c>
      <c r="D739" s="2" t="s">
        <v>52</v>
      </c>
      <c r="E739" s="2" t="s">
        <v>4128</v>
      </c>
      <c r="F739" s="5"/>
      <c r="G739" s="4">
        <v>0</v>
      </c>
      <c r="H739" s="4"/>
      <c r="I739" s="2" t="s">
        <v>41</v>
      </c>
      <c r="J739" s="2">
        <v>230</v>
      </c>
      <c r="K739" s="2">
        <v>1.5</v>
      </c>
      <c r="L739" s="2">
        <v>210</v>
      </c>
      <c r="M739" s="2">
        <v>135</v>
      </c>
    </row>
    <row r="740" spans="1:13" x14ac:dyDescent="0.2">
      <c r="A740" s="2" t="s">
        <v>341</v>
      </c>
      <c r="B740" s="2" t="s">
        <v>342</v>
      </c>
      <c r="C740" s="2" t="s">
        <v>7</v>
      </c>
      <c r="D740" s="2" t="s">
        <v>52</v>
      </c>
      <c r="E740" s="2" t="s">
        <v>4128</v>
      </c>
      <c r="F740" s="5"/>
      <c r="G740" s="4">
        <v>0</v>
      </c>
      <c r="H740" s="4"/>
      <c r="I740" s="2" t="s">
        <v>41</v>
      </c>
      <c r="J740" s="2">
        <v>230</v>
      </c>
      <c r="K740" s="2">
        <v>1.5</v>
      </c>
      <c r="L740" s="2">
        <v>210</v>
      </c>
      <c r="M740" s="2">
        <v>135</v>
      </c>
    </row>
    <row r="741" spans="1:13" x14ac:dyDescent="0.2">
      <c r="A741" s="2" t="s">
        <v>3706</v>
      </c>
      <c r="B741" s="2" t="s">
        <v>3707</v>
      </c>
      <c r="C741" s="2" t="s">
        <v>54</v>
      </c>
      <c r="D741" s="2" t="s">
        <v>52</v>
      </c>
      <c r="E741" s="2" t="s">
        <v>4128</v>
      </c>
      <c r="F741" s="5">
        <v>45959</v>
      </c>
      <c r="G741" s="4">
        <v>99190</v>
      </c>
      <c r="H741" s="4" t="s">
        <v>4134</v>
      </c>
      <c r="I741" s="2" t="s">
        <v>41</v>
      </c>
      <c r="J741" s="2">
        <v>230</v>
      </c>
      <c r="K741" s="2">
        <v>1.5</v>
      </c>
      <c r="L741" s="2">
        <v>0</v>
      </c>
      <c r="M741" s="2">
        <v>345</v>
      </c>
    </row>
    <row r="742" spans="1:13" x14ac:dyDescent="0.2">
      <c r="A742" s="2" t="s">
        <v>1123</v>
      </c>
      <c r="B742" s="2" t="s">
        <v>1124</v>
      </c>
      <c r="C742" s="2" t="s">
        <v>91</v>
      </c>
      <c r="D742" s="2" t="s">
        <v>52</v>
      </c>
      <c r="E742" s="2" t="s">
        <v>4128</v>
      </c>
      <c r="F742" s="5">
        <v>45936</v>
      </c>
      <c r="G742" s="4">
        <v>10697.02</v>
      </c>
      <c r="H742" s="4" t="s">
        <v>4134</v>
      </c>
      <c r="I742" s="2" t="s">
        <v>41</v>
      </c>
      <c r="J742" s="2">
        <v>230</v>
      </c>
      <c r="K742" s="2">
        <v>1.5</v>
      </c>
      <c r="L742" s="2">
        <v>210</v>
      </c>
      <c r="M742" s="2">
        <v>135</v>
      </c>
    </row>
    <row r="743" spans="1:13" x14ac:dyDescent="0.2">
      <c r="A743" s="2" t="s">
        <v>981</v>
      </c>
      <c r="B743" s="2" t="s">
        <v>982</v>
      </c>
      <c r="C743" s="2" t="s">
        <v>7</v>
      </c>
      <c r="D743" s="2" t="s">
        <v>52</v>
      </c>
      <c r="E743" s="2" t="s">
        <v>4128</v>
      </c>
      <c r="F743" s="5"/>
      <c r="G743" s="4">
        <v>0</v>
      </c>
      <c r="H743" s="4"/>
      <c r="I743" s="2" t="s">
        <v>41</v>
      </c>
      <c r="J743" s="2">
        <v>230</v>
      </c>
      <c r="K743" s="2">
        <v>1.5</v>
      </c>
      <c r="L743" s="2">
        <v>0</v>
      </c>
      <c r="M743" s="2">
        <v>345</v>
      </c>
    </row>
    <row r="744" spans="1:13" x14ac:dyDescent="0.2">
      <c r="A744" s="2" t="s">
        <v>4058</v>
      </c>
      <c r="B744" s="2" t="s">
        <v>4059</v>
      </c>
      <c r="C744" s="2" t="s">
        <v>4126</v>
      </c>
      <c r="D744" s="2" t="s">
        <v>52</v>
      </c>
      <c r="E744" s="2" t="s">
        <v>4128</v>
      </c>
      <c r="F744" s="5"/>
      <c r="G744" s="4">
        <v>148000</v>
      </c>
      <c r="H744" s="4"/>
      <c r="I744" s="2" t="s">
        <v>41</v>
      </c>
      <c r="J744" s="2">
        <v>230</v>
      </c>
      <c r="K744" s="2">
        <v>1.5</v>
      </c>
      <c r="L744" s="2">
        <v>0</v>
      </c>
      <c r="M744" s="2">
        <v>345</v>
      </c>
    </row>
    <row r="745" spans="1:13" x14ac:dyDescent="0.2">
      <c r="A745" s="2" t="s">
        <v>357</v>
      </c>
      <c r="B745" s="2" t="s">
        <v>358</v>
      </c>
      <c r="C745" s="2" t="s">
        <v>94</v>
      </c>
      <c r="D745" s="2" t="s">
        <v>52</v>
      </c>
      <c r="E745" s="2" t="s">
        <v>4128</v>
      </c>
      <c r="F745" s="5"/>
      <c r="G745" s="4">
        <v>0</v>
      </c>
      <c r="H745" s="4"/>
      <c r="I745" s="2" t="s">
        <v>41</v>
      </c>
      <c r="J745" s="2">
        <v>230</v>
      </c>
      <c r="K745" s="2">
        <v>1.5</v>
      </c>
      <c r="L745" s="2">
        <v>210</v>
      </c>
      <c r="M745" s="2">
        <v>135</v>
      </c>
    </row>
    <row r="746" spans="1:13" x14ac:dyDescent="0.2">
      <c r="A746" s="2" t="s">
        <v>4060</v>
      </c>
      <c r="B746" s="2" t="s">
        <v>4061</v>
      </c>
      <c r="C746" s="2" t="s">
        <v>94</v>
      </c>
      <c r="D746" s="2" t="s">
        <v>52</v>
      </c>
      <c r="E746" s="2" t="s">
        <v>4128</v>
      </c>
      <c r="F746" s="5"/>
      <c r="G746" s="4">
        <v>0</v>
      </c>
      <c r="H746" s="4"/>
      <c r="I746" s="2" t="s">
        <v>41</v>
      </c>
      <c r="J746" s="2">
        <v>230</v>
      </c>
      <c r="K746" s="2">
        <v>1.5</v>
      </c>
      <c r="L746" s="2">
        <v>0</v>
      </c>
      <c r="M746" s="2">
        <v>345</v>
      </c>
    </row>
    <row r="747" spans="1:13" x14ac:dyDescent="0.2">
      <c r="A747" s="2" t="s">
        <v>977</v>
      </c>
      <c r="B747" s="2" t="s">
        <v>978</v>
      </c>
      <c r="C747" s="2" t="s">
        <v>19</v>
      </c>
      <c r="D747" s="2" t="s">
        <v>52</v>
      </c>
      <c r="E747" s="2" t="s">
        <v>4128</v>
      </c>
      <c r="F747" s="5"/>
      <c r="G747" s="4">
        <v>0</v>
      </c>
      <c r="H747" s="4"/>
      <c r="I747" s="2" t="s">
        <v>41</v>
      </c>
      <c r="J747" s="2">
        <v>230</v>
      </c>
      <c r="K747" s="2">
        <v>1.5</v>
      </c>
      <c r="L747" s="2">
        <v>0</v>
      </c>
      <c r="M747" s="2">
        <v>345</v>
      </c>
    </row>
    <row r="748" spans="1:13" x14ac:dyDescent="0.2">
      <c r="A748" s="2" t="s">
        <v>721</v>
      </c>
      <c r="B748" s="2" t="s">
        <v>722</v>
      </c>
      <c r="C748" s="2" t="s">
        <v>4125</v>
      </c>
      <c r="D748" s="2" t="s">
        <v>52</v>
      </c>
      <c r="E748" s="2" t="s">
        <v>4128</v>
      </c>
      <c r="F748" s="5"/>
      <c r="G748" s="4">
        <v>0</v>
      </c>
      <c r="H748" s="4"/>
      <c r="I748" s="2" t="s">
        <v>598</v>
      </c>
      <c r="J748" s="2">
        <v>230</v>
      </c>
      <c r="K748" s="2">
        <v>1.5</v>
      </c>
      <c r="L748" s="2">
        <v>0</v>
      </c>
      <c r="M748" s="2">
        <v>345</v>
      </c>
    </row>
    <row r="749" spans="1:13" x14ac:dyDescent="0.2">
      <c r="A749" s="2" t="s">
        <v>301</v>
      </c>
      <c r="B749" s="2" t="s">
        <v>302</v>
      </c>
      <c r="C749" s="2" t="s">
        <v>19</v>
      </c>
      <c r="D749" s="2" t="s">
        <v>52</v>
      </c>
      <c r="E749" s="2" t="s">
        <v>4128</v>
      </c>
      <c r="F749" s="5"/>
      <c r="G749" s="4">
        <v>0</v>
      </c>
      <c r="H749" s="4"/>
      <c r="I749" s="2" t="s">
        <v>598</v>
      </c>
      <c r="J749" s="2">
        <v>230</v>
      </c>
      <c r="K749" s="2">
        <v>1.5</v>
      </c>
      <c r="L749" s="2">
        <v>600</v>
      </c>
      <c r="M749" s="2">
        <v>0</v>
      </c>
    </row>
    <row r="750" spans="1:13" x14ac:dyDescent="0.2">
      <c r="A750" s="2" t="s">
        <v>329</v>
      </c>
      <c r="B750" s="2" t="s">
        <v>330</v>
      </c>
      <c r="C750" s="2" t="s">
        <v>54</v>
      </c>
      <c r="D750" s="2" t="s">
        <v>52</v>
      </c>
      <c r="E750" s="2" t="s">
        <v>4128</v>
      </c>
      <c r="F750" s="5"/>
      <c r="G750" s="4">
        <v>0</v>
      </c>
      <c r="H750" s="4"/>
      <c r="I750" s="2" t="s">
        <v>598</v>
      </c>
      <c r="J750" s="2">
        <v>230</v>
      </c>
      <c r="K750" s="2">
        <v>1.5</v>
      </c>
      <c r="L750" s="2">
        <v>345</v>
      </c>
      <c r="M750" s="2">
        <v>0</v>
      </c>
    </row>
    <row r="751" spans="1:13" x14ac:dyDescent="0.2">
      <c r="A751" s="2" t="s">
        <v>1249</v>
      </c>
      <c r="B751" s="2" t="s">
        <v>1250</v>
      </c>
      <c r="C751" s="2" t="s">
        <v>94</v>
      </c>
      <c r="D751" s="2" t="s">
        <v>52</v>
      </c>
      <c r="E751" s="2" t="s">
        <v>4128</v>
      </c>
      <c r="F751" s="5"/>
      <c r="G751" s="4">
        <v>0</v>
      </c>
      <c r="H751" s="4"/>
      <c r="I751" s="2" t="s">
        <v>21</v>
      </c>
      <c r="J751" s="2">
        <v>400</v>
      </c>
      <c r="K751" s="2">
        <v>1.5</v>
      </c>
      <c r="L751" s="2">
        <v>345</v>
      </c>
      <c r="M751" s="2">
        <v>255</v>
      </c>
    </row>
    <row r="752" spans="1:13" x14ac:dyDescent="0.2">
      <c r="A752" s="2" t="s">
        <v>3708</v>
      </c>
      <c r="B752" s="2" t="s">
        <v>3709</v>
      </c>
      <c r="C752" s="2" t="s">
        <v>54</v>
      </c>
      <c r="D752" s="2" t="s">
        <v>52</v>
      </c>
      <c r="E752" s="2" t="s">
        <v>4128</v>
      </c>
      <c r="F752" s="5"/>
      <c r="G752" s="4">
        <v>0</v>
      </c>
      <c r="H752" s="4"/>
      <c r="I752" s="2" t="s">
        <v>21</v>
      </c>
      <c r="J752" s="2">
        <v>400</v>
      </c>
      <c r="K752" s="2">
        <v>1.5</v>
      </c>
      <c r="L752" s="2">
        <v>0</v>
      </c>
      <c r="M752" s="2">
        <v>600</v>
      </c>
    </row>
    <row r="753" spans="1:13" x14ac:dyDescent="0.2">
      <c r="A753" s="2" t="s">
        <v>3710</v>
      </c>
      <c r="B753" s="2" t="s">
        <v>3711</v>
      </c>
      <c r="C753" s="2" t="s">
        <v>54</v>
      </c>
      <c r="D753" s="2" t="s">
        <v>52</v>
      </c>
      <c r="E753" s="2" t="s">
        <v>4128</v>
      </c>
      <c r="F753" s="5"/>
      <c r="G753" s="4">
        <v>0</v>
      </c>
      <c r="H753" s="4"/>
      <c r="I753" s="2" t="s">
        <v>21</v>
      </c>
      <c r="J753" s="2">
        <v>400</v>
      </c>
      <c r="K753" s="2">
        <v>1.5</v>
      </c>
      <c r="L753" s="2">
        <v>0</v>
      </c>
      <c r="M753" s="2">
        <v>600</v>
      </c>
    </row>
    <row r="754" spans="1:13" x14ac:dyDescent="0.2">
      <c r="A754" s="2" t="s">
        <v>3712</v>
      </c>
      <c r="B754" s="2" t="s">
        <v>3713</v>
      </c>
      <c r="C754" s="2" t="s">
        <v>66</v>
      </c>
      <c r="D754" s="2" t="s">
        <v>52</v>
      </c>
      <c r="E754" s="2" t="s">
        <v>4128</v>
      </c>
      <c r="F754" s="5"/>
      <c r="G754" s="4">
        <v>0</v>
      </c>
      <c r="H754" s="4"/>
      <c r="I754" s="2" t="s">
        <v>21</v>
      </c>
      <c r="J754" s="2">
        <v>400</v>
      </c>
      <c r="K754" s="2">
        <v>1.5</v>
      </c>
      <c r="L754" s="2">
        <v>0</v>
      </c>
      <c r="M754" s="2">
        <v>600</v>
      </c>
    </row>
    <row r="755" spans="1:13" x14ac:dyDescent="0.2">
      <c r="A755" s="2" t="s">
        <v>4062</v>
      </c>
      <c r="B755" s="2" t="s">
        <v>4063</v>
      </c>
      <c r="C755" s="2" t="s">
        <v>91</v>
      </c>
      <c r="D755" s="2" t="s">
        <v>52</v>
      </c>
      <c r="E755" s="2" t="s">
        <v>4128</v>
      </c>
      <c r="F755" s="5"/>
      <c r="G755" s="4">
        <v>0</v>
      </c>
      <c r="H755" s="4"/>
      <c r="I755" s="2" t="s">
        <v>21</v>
      </c>
      <c r="J755" s="2">
        <v>400</v>
      </c>
      <c r="K755" s="2">
        <v>1.5</v>
      </c>
      <c r="L755" s="2">
        <v>0</v>
      </c>
      <c r="M755" s="2">
        <v>600</v>
      </c>
    </row>
    <row r="756" spans="1:13" x14ac:dyDescent="0.2">
      <c r="A756" s="2" t="s">
        <v>3714</v>
      </c>
      <c r="B756" s="2" t="s">
        <v>3715</v>
      </c>
      <c r="C756" s="2" t="s">
        <v>4125</v>
      </c>
      <c r="D756" s="2" t="s">
        <v>52</v>
      </c>
      <c r="E756" s="2" t="s">
        <v>4128</v>
      </c>
      <c r="F756" s="5"/>
      <c r="G756" s="4">
        <v>0</v>
      </c>
      <c r="H756" s="4"/>
      <c r="I756" s="2" t="s">
        <v>21</v>
      </c>
      <c r="J756" s="2">
        <v>400</v>
      </c>
      <c r="K756" s="2">
        <v>1.5</v>
      </c>
      <c r="L756" s="2">
        <v>0</v>
      </c>
      <c r="M756" s="2">
        <v>600</v>
      </c>
    </row>
    <row r="757" spans="1:13" x14ac:dyDescent="0.2">
      <c r="A757" s="2" t="s">
        <v>163</v>
      </c>
      <c r="B757" s="2" t="s">
        <v>164</v>
      </c>
      <c r="C757" s="2" t="s">
        <v>91</v>
      </c>
      <c r="D757" s="2" t="s">
        <v>52</v>
      </c>
      <c r="E757" s="2" t="s">
        <v>4128</v>
      </c>
      <c r="F757" s="5"/>
      <c r="G757" s="4">
        <v>0</v>
      </c>
      <c r="H757" s="4"/>
      <c r="I757" s="2" t="s">
        <v>21</v>
      </c>
      <c r="J757" s="2">
        <v>400</v>
      </c>
      <c r="K757" s="2">
        <v>1.5</v>
      </c>
      <c r="L757" s="2">
        <v>210</v>
      </c>
      <c r="M757" s="2">
        <v>390</v>
      </c>
    </row>
    <row r="758" spans="1:13" x14ac:dyDescent="0.2">
      <c r="A758" s="2" t="s">
        <v>1205</v>
      </c>
      <c r="B758" s="2" t="s">
        <v>1206</v>
      </c>
      <c r="C758" s="2" t="s">
        <v>7</v>
      </c>
      <c r="D758" s="2" t="s">
        <v>52</v>
      </c>
      <c r="E758" s="2" t="s">
        <v>4128</v>
      </c>
      <c r="F758" s="5"/>
      <c r="G758" s="4">
        <v>0</v>
      </c>
      <c r="H758" s="4"/>
      <c r="I758" s="2" t="s">
        <v>21</v>
      </c>
      <c r="J758" s="2">
        <v>400</v>
      </c>
      <c r="K758" s="2">
        <v>1.5</v>
      </c>
      <c r="L758" s="2">
        <v>600</v>
      </c>
      <c r="M758" s="2">
        <v>0</v>
      </c>
    </row>
    <row r="759" spans="1:13" x14ac:dyDescent="0.2">
      <c r="A759" s="2" t="s">
        <v>485</v>
      </c>
      <c r="B759" s="2" t="s">
        <v>486</v>
      </c>
      <c r="C759" s="2" t="s">
        <v>19</v>
      </c>
      <c r="D759" s="2" t="s">
        <v>52</v>
      </c>
      <c r="E759" s="2" t="s">
        <v>4128</v>
      </c>
      <c r="F759" s="5"/>
      <c r="G759" s="4">
        <v>0</v>
      </c>
      <c r="H759" s="4"/>
      <c r="I759" s="2" t="s">
        <v>21</v>
      </c>
      <c r="J759" s="2">
        <v>400</v>
      </c>
      <c r="K759" s="2">
        <v>1.5</v>
      </c>
      <c r="L759" s="2">
        <v>810</v>
      </c>
      <c r="M759" s="2">
        <v>0</v>
      </c>
    </row>
    <row r="760" spans="1:13" x14ac:dyDescent="0.2">
      <c r="A760" s="2" t="s">
        <v>821</v>
      </c>
      <c r="B760" s="2" t="s">
        <v>822</v>
      </c>
      <c r="C760" s="2" t="s">
        <v>94</v>
      </c>
      <c r="D760" s="2" t="s">
        <v>52</v>
      </c>
      <c r="E760" s="2" t="s">
        <v>4128</v>
      </c>
      <c r="F760" s="5"/>
      <c r="G760" s="4">
        <v>0</v>
      </c>
      <c r="H760" s="4"/>
      <c r="I760" s="2" t="s">
        <v>21</v>
      </c>
      <c r="J760" s="2">
        <v>400</v>
      </c>
      <c r="K760" s="2">
        <v>1.5</v>
      </c>
      <c r="L760" s="2">
        <v>0</v>
      </c>
      <c r="M760" s="2">
        <v>600</v>
      </c>
    </row>
    <row r="761" spans="1:13" x14ac:dyDescent="0.2">
      <c r="A761" s="2" t="s">
        <v>1183</v>
      </c>
      <c r="B761" s="2" t="s">
        <v>1184</v>
      </c>
      <c r="C761" s="2" t="s">
        <v>91</v>
      </c>
      <c r="D761" s="2" t="s">
        <v>52</v>
      </c>
      <c r="E761" s="2" t="s">
        <v>4128</v>
      </c>
      <c r="F761" s="5"/>
      <c r="G761" s="4">
        <v>0</v>
      </c>
      <c r="H761" s="4"/>
      <c r="I761" s="2" t="s">
        <v>21</v>
      </c>
      <c r="J761" s="2">
        <v>400</v>
      </c>
      <c r="K761" s="2">
        <v>1.5</v>
      </c>
      <c r="L761" s="2">
        <v>345</v>
      </c>
      <c r="M761" s="2">
        <v>255</v>
      </c>
    </row>
    <row r="762" spans="1:13" x14ac:dyDescent="0.2">
      <c r="A762" s="2" t="s">
        <v>1185</v>
      </c>
      <c r="B762" s="2" t="s">
        <v>1186</v>
      </c>
      <c r="C762" s="2" t="s">
        <v>66</v>
      </c>
      <c r="D762" s="2" t="s">
        <v>52</v>
      </c>
      <c r="E762" s="2" t="s">
        <v>4128</v>
      </c>
      <c r="F762" s="5"/>
      <c r="G762" s="4">
        <v>0</v>
      </c>
      <c r="H762" s="4"/>
      <c r="I762" s="2" t="s">
        <v>21</v>
      </c>
      <c r="J762" s="2">
        <v>400</v>
      </c>
      <c r="K762" s="2">
        <v>1.5</v>
      </c>
      <c r="L762" s="2">
        <v>345</v>
      </c>
      <c r="M762" s="2">
        <v>255</v>
      </c>
    </row>
    <row r="763" spans="1:13" x14ac:dyDescent="0.2">
      <c r="A763" s="2" t="s">
        <v>1103</v>
      </c>
      <c r="B763" s="2" t="s">
        <v>1104</v>
      </c>
      <c r="C763" s="2" t="s">
        <v>94</v>
      </c>
      <c r="D763" s="2" t="s">
        <v>52</v>
      </c>
      <c r="E763" s="2" t="s">
        <v>4128</v>
      </c>
      <c r="F763" s="5"/>
      <c r="G763" s="4">
        <v>0</v>
      </c>
      <c r="H763" s="4"/>
      <c r="I763" s="2" t="s">
        <v>21</v>
      </c>
      <c r="J763" s="2">
        <v>400</v>
      </c>
      <c r="K763" s="2">
        <v>1.5</v>
      </c>
      <c r="L763" s="2">
        <v>210</v>
      </c>
      <c r="M763" s="2">
        <v>390</v>
      </c>
    </row>
    <row r="764" spans="1:13" x14ac:dyDescent="0.2">
      <c r="A764" s="2" t="s">
        <v>3716</v>
      </c>
      <c r="B764" s="2" t="s">
        <v>3717</v>
      </c>
      <c r="C764" s="2" t="s">
        <v>19</v>
      </c>
      <c r="D764" s="2" t="s">
        <v>52</v>
      </c>
      <c r="E764" s="2" t="s">
        <v>4128</v>
      </c>
      <c r="F764" s="5"/>
      <c r="G764" s="4">
        <v>0</v>
      </c>
      <c r="H764" s="4"/>
      <c r="I764" s="2" t="s">
        <v>21</v>
      </c>
      <c r="J764" s="2">
        <v>400</v>
      </c>
      <c r="K764" s="2">
        <v>1.5</v>
      </c>
      <c r="L764" s="2">
        <v>0</v>
      </c>
      <c r="M764" s="2">
        <v>600</v>
      </c>
    </row>
    <row r="765" spans="1:13" x14ac:dyDescent="0.2">
      <c r="A765" s="2" t="s">
        <v>297</v>
      </c>
      <c r="B765" s="2" t="s">
        <v>298</v>
      </c>
      <c r="C765" s="2" t="s">
        <v>94</v>
      </c>
      <c r="D765" s="2" t="s">
        <v>52</v>
      </c>
      <c r="E765" s="2" t="s">
        <v>4128</v>
      </c>
      <c r="F765" s="5"/>
      <c r="G765" s="4">
        <v>0</v>
      </c>
      <c r="H765" s="4"/>
      <c r="I765" s="2" t="s">
        <v>21</v>
      </c>
      <c r="J765" s="2">
        <v>400</v>
      </c>
      <c r="K765" s="2">
        <v>1.5</v>
      </c>
      <c r="L765" s="2">
        <v>345</v>
      </c>
      <c r="M765" s="2">
        <v>255</v>
      </c>
    </row>
    <row r="766" spans="1:13" x14ac:dyDescent="0.2">
      <c r="A766" s="2" t="s">
        <v>511</v>
      </c>
      <c r="B766" s="2" t="s">
        <v>512</v>
      </c>
      <c r="C766" s="2" t="s">
        <v>7</v>
      </c>
      <c r="D766" s="2" t="s">
        <v>52</v>
      </c>
      <c r="E766" s="2" t="s">
        <v>4128</v>
      </c>
      <c r="F766" s="5"/>
      <c r="G766" s="4">
        <v>0</v>
      </c>
      <c r="H766" s="4"/>
      <c r="I766" s="2" t="s">
        <v>21</v>
      </c>
      <c r="J766" s="2">
        <v>400</v>
      </c>
      <c r="K766" s="2">
        <v>1.5</v>
      </c>
      <c r="L766" s="2">
        <v>600</v>
      </c>
      <c r="M766" s="2">
        <v>0</v>
      </c>
    </row>
    <row r="767" spans="1:13" x14ac:dyDescent="0.2">
      <c r="A767" s="2" t="s">
        <v>585</v>
      </c>
      <c r="B767" s="2" t="s">
        <v>586</v>
      </c>
      <c r="C767" s="2" t="s">
        <v>19</v>
      </c>
      <c r="D767" s="2" t="s">
        <v>52</v>
      </c>
      <c r="E767" s="2" t="s">
        <v>4128</v>
      </c>
      <c r="F767" s="5"/>
      <c r="G767" s="4">
        <v>0</v>
      </c>
      <c r="H767" s="4"/>
      <c r="I767" s="2" t="s">
        <v>21</v>
      </c>
      <c r="J767" s="2">
        <v>400</v>
      </c>
      <c r="K767" s="2">
        <v>1.5</v>
      </c>
      <c r="L767" s="2">
        <v>810</v>
      </c>
      <c r="M767" s="2">
        <v>0</v>
      </c>
    </row>
    <row r="768" spans="1:13" x14ac:dyDescent="0.2">
      <c r="A768" s="2" t="s">
        <v>1283</v>
      </c>
      <c r="B768" s="2" t="s">
        <v>1284</v>
      </c>
      <c r="C768" s="2" t="s">
        <v>7</v>
      </c>
      <c r="D768" s="2" t="s">
        <v>52</v>
      </c>
      <c r="E768" s="2" t="s">
        <v>4128</v>
      </c>
      <c r="F768" s="5"/>
      <c r="G768" s="4">
        <v>0</v>
      </c>
      <c r="H768" s="4"/>
      <c r="I768" s="2" t="s">
        <v>21</v>
      </c>
      <c r="J768" s="2">
        <v>400</v>
      </c>
      <c r="K768" s="2">
        <v>1.5</v>
      </c>
      <c r="L768" s="2">
        <v>600</v>
      </c>
      <c r="M768" s="2">
        <v>0</v>
      </c>
    </row>
    <row r="769" spans="1:13" x14ac:dyDescent="0.2">
      <c r="A769" s="2" t="s">
        <v>3718</v>
      </c>
      <c r="B769" s="2" t="s">
        <v>3719</v>
      </c>
      <c r="C769" s="2" t="s">
        <v>7</v>
      </c>
      <c r="D769" s="2" t="s">
        <v>52</v>
      </c>
      <c r="E769" s="2" t="s">
        <v>4128</v>
      </c>
      <c r="F769" s="5"/>
      <c r="G769" s="4">
        <v>0</v>
      </c>
      <c r="H769" s="4"/>
      <c r="I769" s="2" t="s">
        <v>21</v>
      </c>
      <c r="J769" s="2">
        <v>400</v>
      </c>
      <c r="K769" s="2">
        <v>1.5</v>
      </c>
      <c r="L769" s="2">
        <v>0</v>
      </c>
      <c r="M769" s="2">
        <v>600</v>
      </c>
    </row>
    <row r="770" spans="1:13" x14ac:dyDescent="0.2">
      <c r="A770" s="2" t="s">
        <v>3720</v>
      </c>
      <c r="B770" s="2" t="s">
        <v>3721</v>
      </c>
      <c r="C770" s="2" t="s">
        <v>592</v>
      </c>
      <c r="D770" s="2" t="s">
        <v>52</v>
      </c>
      <c r="E770" s="2" t="s">
        <v>4128</v>
      </c>
      <c r="F770" s="5"/>
      <c r="G770" s="4">
        <v>0</v>
      </c>
      <c r="H770" s="4"/>
      <c r="I770" s="2" t="s">
        <v>21</v>
      </c>
      <c r="J770" s="2">
        <v>400</v>
      </c>
      <c r="K770" s="2">
        <v>1.5</v>
      </c>
      <c r="L770" s="2">
        <v>0</v>
      </c>
      <c r="M770" s="2">
        <v>600</v>
      </c>
    </row>
    <row r="771" spans="1:13" x14ac:dyDescent="0.2">
      <c r="A771" s="2" t="s">
        <v>4064</v>
      </c>
      <c r="B771" s="2" t="s">
        <v>4065</v>
      </c>
      <c r="C771" s="2" t="s">
        <v>1366</v>
      </c>
      <c r="D771" s="2" t="s">
        <v>52</v>
      </c>
      <c r="E771" s="2" t="s">
        <v>4128</v>
      </c>
      <c r="F771" s="5"/>
      <c r="G771" s="4">
        <v>0</v>
      </c>
      <c r="H771" s="4"/>
      <c r="I771" s="2" t="s">
        <v>21</v>
      </c>
      <c r="J771" s="2">
        <v>400</v>
      </c>
      <c r="K771" s="2">
        <v>1.5</v>
      </c>
      <c r="L771" s="2">
        <v>0</v>
      </c>
      <c r="M771" s="2">
        <v>600</v>
      </c>
    </row>
    <row r="772" spans="1:13" x14ac:dyDescent="0.2">
      <c r="A772" s="2" t="s">
        <v>3722</v>
      </c>
      <c r="B772" s="2" t="s">
        <v>3723</v>
      </c>
      <c r="C772" s="2" t="s">
        <v>592</v>
      </c>
      <c r="D772" s="2" t="s">
        <v>52</v>
      </c>
      <c r="E772" s="2" t="s">
        <v>4128</v>
      </c>
      <c r="F772" s="5"/>
      <c r="G772" s="4">
        <v>0</v>
      </c>
      <c r="H772" s="4"/>
      <c r="I772" s="2" t="s">
        <v>28</v>
      </c>
      <c r="J772" s="2">
        <v>540</v>
      </c>
      <c r="K772" s="2">
        <v>1.5</v>
      </c>
      <c r="L772" s="2">
        <v>0</v>
      </c>
      <c r="M772" s="2">
        <v>810</v>
      </c>
    </row>
    <row r="773" spans="1:13" x14ac:dyDescent="0.2">
      <c r="A773" s="2" t="s">
        <v>3724</v>
      </c>
      <c r="B773" s="2" t="s">
        <v>3725</v>
      </c>
      <c r="C773" s="2" t="s">
        <v>7</v>
      </c>
      <c r="D773" s="2" t="s">
        <v>52</v>
      </c>
      <c r="E773" s="2" t="s">
        <v>4128</v>
      </c>
      <c r="F773" s="5"/>
      <c r="G773" s="4">
        <v>0</v>
      </c>
      <c r="H773" s="4"/>
      <c r="I773" s="2" t="s">
        <v>28</v>
      </c>
      <c r="J773" s="2">
        <v>540</v>
      </c>
      <c r="K773" s="2">
        <v>1.5</v>
      </c>
      <c r="L773" s="2">
        <v>0</v>
      </c>
      <c r="M773" s="2">
        <v>810</v>
      </c>
    </row>
    <row r="774" spans="1:13" x14ac:dyDescent="0.2">
      <c r="A774" s="2" t="s">
        <v>3726</v>
      </c>
      <c r="B774" s="2" t="s">
        <v>3727</v>
      </c>
      <c r="C774" s="2" t="s">
        <v>54</v>
      </c>
      <c r="D774" s="2" t="s">
        <v>52</v>
      </c>
      <c r="E774" s="2" t="s">
        <v>4128</v>
      </c>
      <c r="F774" s="5"/>
      <c r="G774" s="4">
        <v>0</v>
      </c>
      <c r="H774" s="4"/>
      <c r="I774" s="2" t="s">
        <v>28</v>
      </c>
      <c r="J774" s="2">
        <v>540</v>
      </c>
      <c r="K774" s="2">
        <v>1.5</v>
      </c>
      <c r="L774" s="2">
        <v>0</v>
      </c>
      <c r="M774" s="2">
        <v>810</v>
      </c>
    </row>
    <row r="775" spans="1:13" x14ac:dyDescent="0.2">
      <c r="A775" s="2" t="s">
        <v>1269</v>
      </c>
      <c r="B775" s="2" t="s">
        <v>1270</v>
      </c>
      <c r="C775" s="2" t="s">
        <v>4125</v>
      </c>
      <c r="D775" s="2" t="s">
        <v>52</v>
      </c>
      <c r="E775" s="2" t="s">
        <v>4128</v>
      </c>
      <c r="F775" s="5"/>
      <c r="G775" s="4">
        <v>0</v>
      </c>
      <c r="H775" s="4"/>
      <c r="I775" s="2" t="s">
        <v>28</v>
      </c>
      <c r="J775" s="2">
        <v>540</v>
      </c>
      <c r="K775" s="2">
        <v>1.5</v>
      </c>
      <c r="L775" s="2">
        <v>600</v>
      </c>
      <c r="M775" s="2">
        <v>210</v>
      </c>
    </row>
    <row r="776" spans="1:13" x14ac:dyDescent="0.2">
      <c r="A776" s="2" t="s">
        <v>147</v>
      </c>
      <c r="B776" s="2" t="s">
        <v>148</v>
      </c>
      <c r="C776" s="2" t="s">
        <v>19</v>
      </c>
      <c r="D776" s="2" t="s">
        <v>52</v>
      </c>
      <c r="E776" s="2" t="s">
        <v>4128</v>
      </c>
      <c r="F776" s="5"/>
      <c r="G776" s="4">
        <v>0</v>
      </c>
      <c r="H776" s="4"/>
      <c r="I776" s="2" t="s">
        <v>28</v>
      </c>
      <c r="J776" s="2">
        <v>540</v>
      </c>
      <c r="K776" s="2">
        <v>1.5</v>
      </c>
      <c r="L776" s="2">
        <v>810</v>
      </c>
      <c r="M776" s="2">
        <v>0</v>
      </c>
    </row>
    <row r="777" spans="1:13" x14ac:dyDescent="0.2">
      <c r="A777" s="4" t="s">
        <v>3728</v>
      </c>
      <c r="B777" s="4" t="s">
        <v>3729</v>
      </c>
      <c r="C777" s="4" t="s">
        <v>1366</v>
      </c>
      <c r="D777" s="4" t="s">
        <v>88</v>
      </c>
      <c r="E777" s="4" t="s">
        <v>88</v>
      </c>
      <c r="F777" s="5"/>
      <c r="G777" s="4">
        <v>0</v>
      </c>
      <c r="H777" s="4"/>
      <c r="I777" s="4" t="s">
        <v>28</v>
      </c>
      <c r="J777" s="4">
        <v>540</v>
      </c>
      <c r="K777" s="4">
        <v>1.5</v>
      </c>
      <c r="L777" s="4">
        <v>0</v>
      </c>
      <c r="M777" s="4">
        <v>810</v>
      </c>
    </row>
    <row r="778" spans="1:13" x14ac:dyDescent="0.2">
      <c r="A778" s="2" t="s">
        <v>183</v>
      </c>
      <c r="B778" s="2" t="s">
        <v>184</v>
      </c>
      <c r="C778" s="2" t="s">
        <v>94</v>
      </c>
      <c r="D778" s="2" t="s">
        <v>52</v>
      </c>
      <c r="E778" s="2" t="s">
        <v>4128</v>
      </c>
      <c r="F778" s="5"/>
      <c r="G778" s="4">
        <v>0</v>
      </c>
      <c r="H778" s="4"/>
      <c r="I778" s="2" t="s">
        <v>28</v>
      </c>
      <c r="J778" s="2">
        <v>540</v>
      </c>
      <c r="K778" s="2">
        <v>1.5</v>
      </c>
      <c r="L778" s="2">
        <v>210</v>
      </c>
      <c r="M778" s="2">
        <v>600</v>
      </c>
    </row>
    <row r="779" spans="1:13" x14ac:dyDescent="0.2">
      <c r="A779" s="2" t="s">
        <v>737</v>
      </c>
      <c r="B779" s="2" t="s">
        <v>738</v>
      </c>
      <c r="C779" s="2" t="s">
        <v>66</v>
      </c>
      <c r="D779" s="2" t="s">
        <v>52</v>
      </c>
      <c r="E779" s="2" t="s">
        <v>4128</v>
      </c>
      <c r="F779" s="5"/>
      <c r="G779" s="4">
        <v>0</v>
      </c>
      <c r="H779" s="4"/>
      <c r="I779" s="2" t="s">
        <v>28</v>
      </c>
      <c r="J779" s="2">
        <v>540</v>
      </c>
      <c r="K779" s="2">
        <v>1.5</v>
      </c>
      <c r="L779" s="2">
        <v>0</v>
      </c>
      <c r="M779" s="2">
        <v>810</v>
      </c>
    </row>
    <row r="780" spans="1:13" x14ac:dyDescent="0.2">
      <c r="A780" s="2" t="s">
        <v>217</v>
      </c>
      <c r="B780" s="2" t="s">
        <v>218</v>
      </c>
      <c r="C780" s="2" t="s">
        <v>54</v>
      </c>
      <c r="D780" s="2" t="s">
        <v>52</v>
      </c>
      <c r="E780" s="2" t="s">
        <v>4128</v>
      </c>
      <c r="F780" s="5"/>
      <c r="G780" s="4">
        <v>0</v>
      </c>
      <c r="H780" s="4"/>
      <c r="I780" s="2" t="s">
        <v>28</v>
      </c>
      <c r="J780" s="2">
        <v>540</v>
      </c>
      <c r="K780" s="2">
        <v>1.5</v>
      </c>
      <c r="L780" s="2">
        <v>600</v>
      </c>
      <c r="M780" s="2">
        <v>210</v>
      </c>
    </row>
    <row r="781" spans="1:13" x14ac:dyDescent="0.2">
      <c r="A781" s="2" t="s">
        <v>465</v>
      </c>
      <c r="B781" s="2" t="s">
        <v>466</v>
      </c>
      <c r="C781" s="2" t="s">
        <v>19</v>
      </c>
      <c r="D781" s="2" t="s">
        <v>52</v>
      </c>
      <c r="E781" s="2" t="s">
        <v>4128</v>
      </c>
      <c r="F781" s="5"/>
      <c r="G781" s="4">
        <v>0</v>
      </c>
      <c r="H781" s="4"/>
      <c r="I781" s="2" t="s">
        <v>28</v>
      </c>
      <c r="J781" s="2">
        <v>540</v>
      </c>
      <c r="K781" s="2">
        <v>1.5</v>
      </c>
      <c r="L781" s="2">
        <v>345</v>
      </c>
      <c r="M781" s="2">
        <v>465</v>
      </c>
    </row>
    <row r="782" spans="1:13" x14ac:dyDescent="0.2">
      <c r="A782" s="2" t="s">
        <v>3730</v>
      </c>
      <c r="B782" s="2" t="s">
        <v>3731</v>
      </c>
      <c r="C782" s="2" t="s">
        <v>91</v>
      </c>
      <c r="D782" s="2" t="s">
        <v>52</v>
      </c>
      <c r="E782" s="2" t="s">
        <v>4128</v>
      </c>
      <c r="F782" s="5"/>
      <c r="G782" s="4">
        <v>0</v>
      </c>
      <c r="H782" s="4"/>
      <c r="I782" s="2" t="s">
        <v>28</v>
      </c>
      <c r="J782" s="2">
        <v>540</v>
      </c>
      <c r="K782" s="2">
        <v>1.5</v>
      </c>
      <c r="L782" s="2">
        <v>0</v>
      </c>
      <c r="M782" s="2">
        <v>810</v>
      </c>
    </row>
    <row r="783" spans="1:13" x14ac:dyDescent="0.2">
      <c r="A783" s="2" t="s">
        <v>553</v>
      </c>
      <c r="B783" s="2" t="s">
        <v>554</v>
      </c>
      <c r="C783" s="2" t="s">
        <v>7</v>
      </c>
      <c r="D783" s="2" t="s">
        <v>52</v>
      </c>
      <c r="E783" s="2" t="s">
        <v>4128</v>
      </c>
      <c r="F783" s="5"/>
      <c r="G783" s="4">
        <v>0</v>
      </c>
      <c r="H783" s="4"/>
      <c r="I783" s="2" t="s">
        <v>28</v>
      </c>
      <c r="J783" s="2">
        <v>540</v>
      </c>
      <c r="K783" s="2">
        <v>1.5</v>
      </c>
      <c r="L783" s="2">
        <v>600</v>
      </c>
      <c r="M783" s="2">
        <v>210</v>
      </c>
    </row>
    <row r="784" spans="1:13" x14ac:dyDescent="0.2">
      <c r="A784" s="2" t="s">
        <v>4066</v>
      </c>
      <c r="B784" s="2" t="s">
        <v>4067</v>
      </c>
      <c r="C784" s="2" t="s">
        <v>7</v>
      </c>
      <c r="D784" s="2" t="s">
        <v>52</v>
      </c>
      <c r="E784" s="2" t="s">
        <v>4128</v>
      </c>
      <c r="F784" s="5"/>
      <c r="G784" s="4">
        <v>0</v>
      </c>
      <c r="H784" s="4"/>
      <c r="I784" s="2" t="s">
        <v>28</v>
      </c>
      <c r="J784" s="2">
        <v>540</v>
      </c>
      <c r="K784" s="2">
        <v>1.5</v>
      </c>
      <c r="L784" s="2">
        <v>0</v>
      </c>
      <c r="M784" s="2">
        <v>810</v>
      </c>
    </row>
    <row r="785" spans="1:13" x14ac:dyDescent="0.2">
      <c r="A785" s="2" t="s">
        <v>1355</v>
      </c>
      <c r="B785" s="2" t="s">
        <v>1356</v>
      </c>
      <c r="C785" s="2" t="s">
        <v>91</v>
      </c>
      <c r="D785" s="2" t="s">
        <v>52</v>
      </c>
      <c r="E785" s="2" t="s">
        <v>4128</v>
      </c>
      <c r="F785" s="5"/>
      <c r="G785" s="4">
        <v>0</v>
      </c>
      <c r="H785" s="4"/>
      <c r="I785" s="2" t="s">
        <v>28</v>
      </c>
      <c r="J785" s="2">
        <v>540</v>
      </c>
      <c r="K785" s="2">
        <v>1.5</v>
      </c>
      <c r="L785" s="2">
        <v>810</v>
      </c>
      <c r="M785" s="2">
        <v>0</v>
      </c>
    </row>
    <row r="786" spans="1:13" x14ac:dyDescent="0.2">
      <c r="A786" s="2" t="s">
        <v>1285</v>
      </c>
      <c r="B786" s="2" t="s">
        <v>1286</v>
      </c>
      <c r="C786" s="2" t="s">
        <v>7</v>
      </c>
      <c r="D786" s="2" t="s">
        <v>52</v>
      </c>
      <c r="E786" s="2" t="s">
        <v>4128</v>
      </c>
      <c r="F786" s="5"/>
      <c r="G786" s="4">
        <v>0</v>
      </c>
      <c r="H786" s="4"/>
      <c r="I786" s="2" t="s">
        <v>28</v>
      </c>
      <c r="J786" s="2">
        <v>540</v>
      </c>
      <c r="K786" s="2">
        <v>1.5</v>
      </c>
      <c r="L786" s="2">
        <v>810</v>
      </c>
      <c r="M786" s="2">
        <v>0</v>
      </c>
    </row>
    <row r="787" spans="1:13" x14ac:dyDescent="0.2">
      <c r="A787" s="2" t="s">
        <v>261</v>
      </c>
      <c r="B787" s="2" t="s">
        <v>262</v>
      </c>
      <c r="C787" s="2" t="s">
        <v>54</v>
      </c>
      <c r="D787" s="2" t="s">
        <v>52</v>
      </c>
      <c r="E787" s="2" t="s">
        <v>4128</v>
      </c>
      <c r="F787" s="5"/>
      <c r="G787" s="4">
        <v>0</v>
      </c>
      <c r="H787" s="4"/>
      <c r="I787" s="2" t="s">
        <v>28</v>
      </c>
      <c r="J787" s="2">
        <v>540</v>
      </c>
      <c r="K787" s="2">
        <v>1.5</v>
      </c>
      <c r="L787" s="2">
        <v>210</v>
      </c>
      <c r="M787" s="2">
        <v>600</v>
      </c>
    </row>
    <row r="788" spans="1:13" x14ac:dyDescent="0.2">
      <c r="A788" s="2" t="s">
        <v>1213</v>
      </c>
      <c r="B788" s="2" t="s">
        <v>1214</v>
      </c>
      <c r="C788" s="2" t="s">
        <v>592</v>
      </c>
      <c r="D788" s="2" t="s">
        <v>52</v>
      </c>
      <c r="E788" s="2" t="s">
        <v>4128</v>
      </c>
      <c r="F788" s="5"/>
      <c r="G788" s="4">
        <v>0</v>
      </c>
      <c r="H788" s="4"/>
      <c r="I788" s="2" t="s">
        <v>28</v>
      </c>
      <c r="J788" s="2">
        <v>540</v>
      </c>
      <c r="K788" s="2">
        <v>1.5</v>
      </c>
      <c r="L788" s="2">
        <v>600</v>
      </c>
      <c r="M788" s="2">
        <v>210</v>
      </c>
    </row>
    <row r="789" spans="1:13" x14ac:dyDescent="0.2">
      <c r="A789" s="2" t="s">
        <v>1159</v>
      </c>
      <c r="B789" s="2" t="s">
        <v>1160</v>
      </c>
      <c r="C789" s="2" t="s">
        <v>7</v>
      </c>
      <c r="D789" s="2" t="s">
        <v>52</v>
      </c>
      <c r="E789" s="2" t="s">
        <v>4128</v>
      </c>
      <c r="F789" s="5"/>
      <c r="G789" s="4">
        <v>0</v>
      </c>
      <c r="H789" s="4"/>
      <c r="I789" s="2" t="s">
        <v>28</v>
      </c>
      <c r="J789" s="2">
        <v>540</v>
      </c>
      <c r="K789" s="2">
        <v>1.5</v>
      </c>
      <c r="L789" s="2">
        <v>210</v>
      </c>
      <c r="M789" s="2">
        <v>600</v>
      </c>
    </row>
    <row r="790" spans="1:13" x14ac:dyDescent="0.2">
      <c r="A790" s="2" t="s">
        <v>1193</v>
      </c>
      <c r="B790" s="2" t="s">
        <v>1194</v>
      </c>
      <c r="C790" s="2" t="s">
        <v>7</v>
      </c>
      <c r="D790" s="2" t="s">
        <v>52</v>
      </c>
      <c r="E790" s="2" t="s">
        <v>4128</v>
      </c>
      <c r="F790" s="5">
        <v>45946</v>
      </c>
      <c r="G790" s="4">
        <v>80</v>
      </c>
      <c r="H790" s="4"/>
      <c r="I790" s="2" t="s">
        <v>28</v>
      </c>
      <c r="J790" s="2">
        <v>540</v>
      </c>
      <c r="K790" s="2">
        <v>1.5</v>
      </c>
      <c r="L790" s="2">
        <v>345</v>
      </c>
      <c r="M790" s="2">
        <v>465</v>
      </c>
    </row>
    <row r="791" spans="1:13" x14ac:dyDescent="0.2">
      <c r="A791" s="2" t="s">
        <v>381</v>
      </c>
      <c r="B791" s="2" t="s">
        <v>382</v>
      </c>
      <c r="C791" s="2" t="s">
        <v>54</v>
      </c>
      <c r="D791" s="2" t="s">
        <v>52</v>
      </c>
      <c r="E791" s="2" t="s">
        <v>4128</v>
      </c>
      <c r="F791" s="5"/>
      <c r="G791" s="4">
        <v>0</v>
      </c>
      <c r="H791" s="4"/>
      <c r="I791" s="2" t="s">
        <v>28</v>
      </c>
      <c r="J791" s="2">
        <v>540</v>
      </c>
      <c r="K791" s="2">
        <v>1.5</v>
      </c>
      <c r="L791" s="2">
        <v>600</v>
      </c>
      <c r="M791" s="2">
        <v>210</v>
      </c>
    </row>
    <row r="792" spans="1:13" x14ac:dyDescent="0.2">
      <c r="A792" s="2" t="s">
        <v>473</v>
      </c>
      <c r="B792" s="2" t="s">
        <v>474</v>
      </c>
      <c r="C792" s="2" t="s">
        <v>94</v>
      </c>
      <c r="D792" s="2" t="s">
        <v>52</v>
      </c>
      <c r="E792" s="2" t="s">
        <v>4128</v>
      </c>
      <c r="F792" s="5">
        <v>45901</v>
      </c>
      <c r="G792" s="4">
        <v>0</v>
      </c>
      <c r="H792" s="4"/>
      <c r="I792" s="2" t="s">
        <v>1372</v>
      </c>
      <c r="J792" s="2">
        <v>540</v>
      </c>
      <c r="K792" s="2">
        <v>1.5</v>
      </c>
      <c r="L792" s="2">
        <v>810</v>
      </c>
      <c r="M792" s="2">
        <v>0</v>
      </c>
    </row>
    <row r="793" spans="1:13" x14ac:dyDescent="0.2">
      <c r="A793" s="2" t="s">
        <v>415</v>
      </c>
      <c r="B793" s="2" t="s">
        <v>416</v>
      </c>
      <c r="C793" s="2" t="s">
        <v>1366</v>
      </c>
      <c r="D793" s="2" t="s">
        <v>52</v>
      </c>
      <c r="E793" s="2" t="s">
        <v>4128</v>
      </c>
      <c r="F793" s="5"/>
      <c r="G793" s="4">
        <v>0</v>
      </c>
      <c r="H793" s="4"/>
      <c r="I793" s="2" t="s">
        <v>4095</v>
      </c>
      <c r="J793" s="2">
        <v>540</v>
      </c>
      <c r="K793" s="2">
        <v>1.5</v>
      </c>
      <c r="L793" s="2">
        <v>345</v>
      </c>
      <c r="M793" s="2">
        <v>465</v>
      </c>
    </row>
    <row r="794" spans="1:13" x14ac:dyDescent="0.2">
      <c r="A794" s="2" t="s">
        <v>781</v>
      </c>
      <c r="B794" s="2" t="s">
        <v>782</v>
      </c>
      <c r="C794" s="2" t="s">
        <v>94</v>
      </c>
      <c r="D794" s="2" t="s">
        <v>52</v>
      </c>
      <c r="E794" s="2" t="s">
        <v>4128</v>
      </c>
      <c r="F794" s="5"/>
      <c r="G794" s="4">
        <v>0</v>
      </c>
      <c r="H794" s="4"/>
      <c r="I794" s="2" t="s">
        <v>104</v>
      </c>
      <c r="J794" s="2">
        <v>230</v>
      </c>
      <c r="K794" s="2">
        <v>1.5</v>
      </c>
      <c r="L794" s="2">
        <v>0</v>
      </c>
      <c r="M794" s="2">
        <v>345</v>
      </c>
    </row>
    <row r="795" spans="1:13" x14ac:dyDescent="0.2">
      <c r="A795" s="2" t="s">
        <v>243</v>
      </c>
      <c r="B795" s="2" t="s">
        <v>244</v>
      </c>
      <c r="C795" s="2" t="s">
        <v>66</v>
      </c>
      <c r="D795" s="2" t="s">
        <v>52</v>
      </c>
      <c r="E795" s="2" t="s">
        <v>4128</v>
      </c>
      <c r="F795" s="5"/>
      <c r="G795" s="4">
        <v>0</v>
      </c>
      <c r="H795" s="4"/>
      <c r="I795" s="2" t="s">
        <v>104</v>
      </c>
      <c r="J795" s="2">
        <v>230</v>
      </c>
      <c r="K795" s="2">
        <v>1.5</v>
      </c>
      <c r="L795" s="2">
        <v>210</v>
      </c>
      <c r="M795" s="2">
        <v>135</v>
      </c>
    </row>
    <row r="796" spans="1:13" x14ac:dyDescent="0.2">
      <c r="A796" s="2" t="s">
        <v>1221</v>
      </c>
      <c r="B796" s="2" t="s">
        <v>1222</v>
      </c>
      <c r="C796" s="2" t="s">
        <v>66</v>
      </c>
      <c r="D796" s="2" t="s">
        <v>52</v>
      </c>
      <c r="E796" s="2" t="s">
        <v>4128</v>
      </c>
      <c r="F796" s="5"/>
      <c r="G796" s="4">
        <v>0</v>
      </c>
      <c r="H796" s="4"/>
      <c r="I796" s="2" t="s">
        <v>4096</v>
      </c>
      <c r="J796" s="2">
        <v>230</v>
      </c>
      <c r="K796" s="2">
        <v>1.5</v>
      </c>
      <c r="L796" s="2">
        <v>210</v>
      </c>
      <c r="M796" s="2">
        <v>135</v>
      </c>
    </row>
    <row r="797" spans="1:13" x14ac:dyDescent="0.2">
      <c r="A797" s="2" t="s">
        <v>3732</v>
      </c>
      <c r="B797" s="2" t="s">
        <v>3733</v>
      </c>
      <c r="C797" s="2" t="s">
        <v>4125</v>
      </c>
      <c r="D797" s="2" t="s">
        <v>52</v>
      </c>
      <c r="E797" s="2" t="s">
        <v>4128</v>
      </c>
      <c r="F797" s="5"/>
      <c r="G797" s="4">
        <v>0</v>
      </c>
      <c r="H797" s="4"/>
      <c r="I797" s="2" t="s">
        <v>4097</v>
      </c>
      <c r="J797" s="2">
        <v>230</v>
      </c>
      <c r="K797" s="2">
        <v>1.5</v>
      </c>
      <c r="L797" s="2">
        <v>0</v>
      </c>
      <c r="M797" s="2">
        <v>345</v>
      </c>
    </row>
    <row r="798" spans="1:13" x14ac:dyDescent="0.2">
      <c r="A798" s="2" t="s">
        <v>1263</v>
      </c>
      <c r="B798" s="2" t="s">
        <v>1264</v>
      </c>
      <c r="C798" s="2" t="s">
        <v>94</v>
      </c>
      <c r="D798" s="2" t="s">
        <v>52</v>
      </c>
      <c r="E798" s="2" t="s">
        <v>4128</v>
      </c>
      <c r="F798" s="5"/>
      <c r="G798" s="4">
        <v>0</v>
      </c>
      <c r="H798" s="4"/>
      <c r="I798" s="2" t="s">
        <v>1373</v>
      </c>
      <c r="J798" s="2">
        <v>400</v>
      </c>
      <c r="K798" s="2">
        <v>1.5</v>
      </c>
      <c r="L798" s="2">
        <v>600</v>
      </c>
      <c r="M798" s="2">
        <v>0</v>
      </c>
    </row>
    <row r="799" spans="1:13" x14ac:dyDescent="0.2">
      <c r="A799" s="2" t="s">
        <v>379</v>
      </c>
      <c r="B799" s="2" t="s">
        <v>380</v>
      </c>
      <c r="C799" s="2" t="s">
        <v>7</v>
      </c>
      <c r="D799" s="2" t="s">
        <v>52</v>
      </c>
      <c r="E799" s="2" t="s">
        <v>4128</v>
      </c>
      <c r="F799" s="5"/>
      <c r="G799" s="4">
        <v>0</v>
      </c>
      <c r="H799" s="4"/>
      <c r="I799" s="2" t="s">
        <v>599</v>
      </c>
      <c r="J799" s="2">
        <v>230</v>
      </c>
      <c r="K799" s="2">
        <v>1.5</v>
      </c>
      <c r="L799" s="2">
        <v>345</v>
      </c>
      <c r="M799" s="2">
        <v>0</v>
      </c>
    </row>
    <row r="800" spans="1:13" x14ac:dyDescent="0.2">
      <c r="A800" s="2" t="s">
        <v>1219</v>
      </c>
      <c r="B800" s="2" t="s">
        <v>1220</v>
      </c>
      <c r="C800" s="2" t="s">
        <v>91</v>
      </c>
      <c r="D800" s="2" t="s">
        <v>52</v>
      </c>
      <c r="E800" s="2" t="s">
        <v>4128</v>
      </c>
      <c r="F800" s="5"/>
      <c r="G800" s="4">
        <v>0</v>
      </c>
      <c r="H800" s="4"/>
      <c r="I800" s="2" t="s">
        <v>4098</v>
      </c>
      <c r="J800" s="2">
        <v>400</v>
      </c>
      <c r="K800" s="2">
        <v>1.5</v>
      </c>
      <c r="L800" s="2">
        <v>210</v>
      </c>
      <c r="M800" s="2">
        <v>390</v>
      </c>
    </row>
    <row r="801" spans="1:13" x14ac:dyDescent="0.2">
      <c r="A801" s="2" t="s">
        <v>1297</v>
      </c>
      <c r="B801" s="2" t="s">
        <v>1298</v>
      </c>
      <c r="C801" s="2" t="s">
        <v>94</v>
      </c>
      <c r="D801" s="2" t="s">
        <v>52</v>
      </c>
      <c r="E801" s="2" t="s">
        <v>4128</v>
      </c>
      <c r="F801" s="5"/>
      <c r="G801" s="4">
        <v>0</v>
      </c>
      <c r="H801" s="4"/>
      <c r="I801" s="2" t="s">
        <v>4098</v>
      </c>
      <c r="J801" s="2">
        <v>400</v>
      </c>
      <c r="K801" s="2">
        <v>1.5</v>
      </c>
      <c r="L801" s="2">
        <v>600</v>
      </c>
      <c r="M801" s="2">
        <v>0</v>
      </c>
    </row>
    <row r="802" spans="1:13" x14ac:dyDescent="0.2">
      <c r="A802" s="2" t="s">
        <v>1223</v>
      </c>
      <c r="B802" s="2" t="s">
        <v>1224</v>
      </c>
      <c r="C802" s="2" t="s">
        <v>7</v>
      </c>
      <c r="D802" s="2" t="s">
        <v>52</v>
      </c>
      <c r="E802" s="2" t="s">
        <v>4128</v>
      </c>
      <c r="F802" s="5"/>
      <c r="G802" s="4">
        <v>0</v>
      </c>
      <c r="H802" s="4"/>
      <c r="I802" s="2" t="s">
        <v>4098</v>
      </c>
      <c r="J802" s="2">
        <v>400</v>
      </c>
      <c r="K802" s="2">
        <v>1.5</v>
      </c>
      <c r="L802" s="2">
        <v>345</v>
      </c>
      <c r="M802" s="2">
        <v>255</v>
      </c>
    </row>
    <row r="803" spans="1:13" x14ac:dyDescent="0.2">
      <c r="A803" s="2" t="s">
        <v>4068</v>
      </c>
      <c r="B803" s="2" t="s">
        <v>4069</v>
      </c>
      <c r="C803" s="2" t="s">
        <v>66</v>
      </c>
      <c r="D803" s="2" t="s">
        <v>52</v>
      </c>
      <c r="E803" s="2" t="s">
        <v>4128</v>
      </c>
      <c r="F803" s="5"/>
      <c r="G803" s="4">
        <v>0</v>
      </c>
      <c r="H803" s="4"/>
      <c r="I803" s="2" t="s">
        <v>4099</v>
      </c>
      <c r="J803" s="2">
        <v>400</v>
      </c>
      <c r="K803" s="2">
        <v>1.5</v>
      </c>
      <c r="L803" s="2">
        <v>0</v>
      </c>
      <c r="M803" s="2">
        <v>600</v>
      </c>
    </row>
    <row r="804" spans="1:13" x14ac:dyDescent="0.2">
      <c r="A804" s="2" t="s">
        <v>521</v>
      </c>
      <c r="B804" s="2" t="s">
        <v>522</v>
      </c>
      <c r="C804" s="2" t="s">
        <v>54</v>
      </c>
      <c r="D804" s="2" t="s">
        <v>52</v>
      </c>
      <c r="E804" s="2" t="s">
        <v>4128</v>
      </c>
      <c r="F804" s="5"/>
      <c r="G804" s="4">
        <v>0</v>
      </c>
      <c r="H804" s="4"/>
      <c r="I804" s="2" t="s">
        <v>4100</v>
      </c>
      <c r="J804" s="2">
        <v>540</v>
      </c>
      <c r="K804" s="2">
        <v>1.5</v>
      </c>
      <c r="L804" s="2">
        <v>810</v>
      </c>
      <c r="M804" s="2">
        <v>0</v>
      </c>
    </row>
    <row r="805" spans="1:13" x14ac:dyDescent="0.2">
      <c r="A805" s="2" t="s">
        <v>3734</v>
      </c>
      <c r="B805" s="2" t="s">
        <v>3735</v>
      </c>
      <c r="C805" s="2" t="s">
        <v>54</v>
      </c>
      <c r="D805" s="2" t="s">
        <v>52</v>
      </c>
      <c r="E805" s="2" t="s">
        <v>4128</v>
      </c>
      <c r="F805" s="5">
        <v>45950</v>
      </c>
      <c r="G805" s="4">
        <v>26026.74</v>
      </c>
      <c r="H805" s="4" t="s">
        <v>4134</v>
      </c>
      <c r="I805" s="2" t="s">
        <v>33</v>
      </c>
      <c r="J805" s="2">
        <v>400</v>
      </c>
      <c r="K805" s="2">
        <v>1.5</v>
      </c>
      <c r="L805" s="2">
        <v>0</v>
      </c>
      <c r="M805" s="2">
        <v>600</v>
      </c>
    </row>
    <row r="806" spans="1:13" x14ac:dyDescent="0.2">
      <c r="A806" s="2" t="s">
        <v>613</v>
      </c>
      <c r="B806" s="2" t="s">
        <v>614</v>
      </c>
      <c r="C806" s="2" t="s">
        <v>94</v>
      </c>
      <c r="D806" s="2" t="s">
        <v>52</v>
      </c>
      <c r="E806" s="2" t="s">
        <v>4128</v>
      </c>
      <c r="F806" s="5"/>
      <c r="G806" s="4">
        <v>0</v>
      </c>
      <c r="H806" s="4"/>
      <c r="I806" s="2" t="s">
        <v>33</v>
      </c>
      <c r="J806" s="2">
        <v>400</v>
      </c>
      <c r="K806" s="2">
        <v>1.5</v>
      </c>
      <c r="L806" s="2">
        <v>0</v>
      </c>
      <c r="M806" s="2">
        <v>600</v>
      </c>
    </row>
    <row r="807" spans="1:13" x14ac:dyDescent="0.2">
      <c r="A807" s="2" t="s">
        <v>3736</v>
      </c>
      <c r="B807" s="2" t="s">
        <v>3737</v>
      </c>
      <c r="C807" s="2" t="s">
        <v>54</v>
      </c>
      <c r="D807" s="2" t="s">
        <v>52</v>
      </c>
      <c r="E807" s="2" t="s">
        <v>4128</v>
      </c>
      <c r="F807" s="5"/>
      <c r="G807" s="4">
        <v>0</v>
      </c>
      <c r="H807" s="4"/>
      <c r="I807" s="2" t="s">
        <v>33</v>
      </c>
      <c r="J807" s="2">
        <v>400</v>
      </c>
      <c r="K807" s="2">
        <v>1.5</v>
      </c>
      <c r="L807" s="2">
        <v>0</v>
      </c>
      <c r="M807" s="2">
        <v>600</v>
      </c>
    </row>
    <row r="808" spans="1:13" x14ac:dyDescent="0.2">
      <c r="A808" s="4" t="s">
        <v>567</v>
      </c>
      <c r="B808" s="4" t="s">
        <v>568</v>
      </c>
      <c r="C808" s="4" t="s">
        <v>4124</v>
      </c>
      <c r="D808" s="4" t="s">
        <v>52</v>
      </c>
      <c r="E808" s="4" t="s">
        <v>88</v>
      </c>
      <c r="F808" s="5">
        <v>45877</v>
      </c>
      <c r="G808" s="4">
        <v>2432</v>
      </c>
      <c r="H808" s="4"/>
      <c r="I808" s="4" t="s">
        <v>33</v>
      </c>
      <c r="J808" s="4">
        <v>400</v>
      </c>
      <c r="K808" s="4">
        <v>1.5</v>
      </c>
      <c r="L808" s="4">
        <v>600</v>
      </c>
      <c r="M808" s="4">
        <v>0</v>
      </c>
    </row>
    <row r="809" spans="1:13" x14ac:dyDescent="0.2">
      <c r="A809" s="4" t="s">
        <v>1031</v>
      </c>
      <c r="B809" s="4" t="s">
        <v>1032</v>
      </c>
      <c r="C809" s="4" t="s">
        <v>4124</v>
      </c>
      <c r="D809" s="4" t="s">
        <v>52</v>
      </c>
      <c r="E809" s="4" t="s">
        <v>88</v>
      </c>
      <c r="F809" s="5"/>
      <c r="G809" s="4">
        <v>0</v>
      </c>
      <c r="H809" s="4"/>
      <c r="I809" s="4" t="s">
        <v>33</v>
      </c>
      <c r="J809" s="4">
        <v>400</v>
      </c>
      <c r="K809" s="4">
        <v>1.5</v>
      </c>
      <c r="L809" s="4">
        <v>210</v>
      </c>
      <c r="M809" s="4">
        <v>390</v>
      </c>
    </row>
    <row r="810" spans="1:13" x14ac:dyDescent="0.2">
      <c r="A810" s="2" t="s">
        <v>1053</v>
      </c>
      <c r="B810" s="2" t="s">
        <v>1054</v>
      </c>
      <c r="C810" s="2" t="s">
        <v>19</v>
      </c>
      <c r="D810" s="2" t="s">
        <v>52</v>
      </c>
      <c r="E810" s="2" t="s">
        <v>4128</v>
      </c>
      <c r="F810" s="5"/>
      <c r="G810" s="4">
        <v>0</v>
      </c>
      <c r="H810" s="4"/>
      <c r="I810" s="2" t="s">
        <v>33</v>
      </c>
      <c r="J810" s="2">
        <v>400</v>
      </c>
      <c r="K810" s="2">
        <v>1.5</v>
      </c>
      <c r="L810" s="2">
        <v>210</v>
      </c>
      <c r="M810" s="2">
        <v>390</v>
      </c>
    </row>
    <row r="811" spans="1:13" x14ac:dyDescent="0.2">
      <c r="A811" s="2" t="s">
        <v>153</v>
      </c>
      <c r="B811" s="2" t="s">
        <v>154</v>
      </c>
      <c r="C811" s="2" t="s">
        <v>54</v>
      </c>
      <c r="D811" s="2" t="s">
        <v>52</v>
      </c>
      <c r="E811" s="2" t="s">
        <v>4128</v>
      </c>
      <c r="F811" s="5"/>
      <c r="G811" s="4">
        <v>0</v>
      </c>
      <c r="H811" s="4"/>
      <c r="I811" s="2" t="s">
        <v>33</v>
      </c>
      <c r="J811" s="2">
        <v>400</v>
      </c>
      <c r="K811" s="2">
        <v>1.5</v>
      </c>
      <c r="L811" s="2">
        <v>210</v>
      </c>
      <c r="M811" s="2">
        <v>390</v>
      </c>
    </row>
    <row r="812" spans="1:13" x14ac:dyDescent="0.2">
      <c r="A812" s="2" t="s">
        <v>481</v>
      </c>
      <c r="B812" s="2" t="s">
        <v>482</v>
      </c>
      <c r="C812" s="2" t="s">
        <v>54</v>
      </c>
      <c r="D812" s="2" t="s">
        <v>52</v>
      </c>
      <c r="E812" s="2" t="s">
        <v>4128</v>
      </c>
      <c r="F812" s="5"/>
      <c r="G812" s="4">
        <v>0</v>
      </c>
      <c r="H812" s="4"/>
      <c r="I812" s="2" t="s">
        <v>33</v>
      </c>
      <c r="J812" s="2">
        <v>400</v>
      </c>
      <c r="K812" s="2">
        <v>1.5</v>
      </c>
      <c r="L812" s="2">
        <v>345</v>
      </c>
      <c r="M812" s="2">
        <v>255</v>
      </c>
    </row>
    <row r="813" spans="1:13" x14ac:dyDescent="0.2">
      <c r="A813" s="2" t="s">
        <v>191</v>
      </c>
      <c r="B813" s="2" t="s">
        <v>192</v>
      </c>
      <c r="C813" s="2" t="s">
        <v>54</v>
      </c>
      <c r="D813" s="2" t="s">
        <v>52</v>
      </c>
      <c r="E813" s="2" t="s">
        <v>4128</v>
      </c>
      <c r="F813" s="5">
        <v>45945</v>
      </c>
      <c r="G813" s="4">
        <v>254</v>
      </c>
      <c r="H813" s="4"/>
      <c r="I813" s="2" t="s">
        <v>33</v>
      </c>
      <c r="J813" s="2">
        <v>400</v>
      </c>
      <c r="K813" s="2">
        <v>1.5</v>
      </c>
      <c r="L813" s="2">
        <v>600</v>
      </c>
      <c r="M813" s="2">
        <v>0</v>
      </c>
    </row>
    <row r="814" spans="1:13" x14ac:dyDescent="0.2">
      <c r="A814" s="2" t="s">
        <v>1315</v>
      </c>
      <c r="B814" s="2" t="s">
        <v>1316</v>
      </c>
      <c r="C814" s="2" t="s">
        <v>7</v>
      </c>
      <c r="D814" s="2" t="s">
        <v>52</v>
      </c>
      <c r="E814" s="2" t="s">
        <v>4128</v>
      </c>
      <c r="F814" s="5"/>
      <c r="G814" s="4">
        <v>0</v>
      </c>
      <c r="H814" s="4"/>
      <c r="I814" s="2" t="s">
        <v>33</v>
      </c>
      <c r="J814" s="2">
        <v>400</v>
      </c>
      <c r="K814" s="2">
        <v>1.5</v>
      </c>
      <c r="L814" s="2">
        <v>600</v>
      </c>
      <c r="M814" s="2">
        <v>0</v>
      </c>
    </row>
    <row r="815" spans="1:13" x14ac:dyDescent="0.2">
      <c r="A815" s="4" t="s">
        <v>525</v>
      </c>
      <c r="B815" s="4" t="s">
        <v>526</v>
      </c>
      <c r="C815" s="4" t="s">
        <v>4124</v>
      </c>
      <c r="D815" s="4" t="s">
        <v>52</v>
      </c>
      <c r="E815" s="4" t="s">
        <v>88</v>
      </c>
      <c r="F815" s="5"/>
      <c r="G815" s="4">
        <v>0</v>
      </c>
      <c r="H815" s="4"/>
      <c r="I815" s="4" t="s">
        <v>33</v>
      </c>
      <c r="J815" s="4">
        <v>400</v>
      </c>
      <c r="K815" s="4">
        <v>1.5</v>
      </c>
      <c r="L815" s="4">
        <v>600</v>
      </c>
      <c r="M815" s="4">
        <v>0</v>
      </c>
    </row>
    <row r="816" spans="1:13" x14ac:dyDescent="0.2">
      <c r="A816" s="2" t="s">
        <v>215</v>
      </c>
      <c r="B816" s="2" t="s">
        <v>216</v>
      </c>
      <c r="C816" s="2" t="s">
        <v>1366</v>
      </c>
      <c r="D816" s="2" t="s">
        <v>52</v>
      </c>
      <c r="E816" s="2" t="s">
        <v>4128</v>
      </c>
      <c r="F816" s="5"/>
      <c r="G816" s="4">
        <v>0</v>
      </c>
      <c r="H816" s="4"/>
      <c r="I816" s="2" t="s">
        <v>33</v>
      </c>
      <c r="J816" s="2">
        <v>400</v>
      </c>
      <c r="K816" s="2">
        <v>1.5</v>
      </c>
      <c r="L816" s="2">
        <v>345</v>
      </c>
      <c r="M816" s="2">
        <v>255</v>
      </c>
    </row>
    <row r="817" spans="1:13" x14ac:dyDescent="0.2">
      <c r="A817" s="2" t="s">
        <v>1233</v>
      </c>
      <c r="B817" s="2" t="s">
        <v>1234</v>
      </c>
      <c r="C817" s="2" t="s">
        <v>592</v>
      </c>
      <c r="D817" s="2" t="s">
        <v>52</v>
      </c>
      <c r="E817" s="2" t="s">
        <v>4128</v>
      </c>
      <c r="F817" s="5"/>
      <c r="G817" s="4">
        <v>45000</v>
      </c>
      <c r="H817" s="4"/>
      <c r="I817" s="2" t="s">
        <v>33</v>
      </c>
      <c r="J817" s="2">
        <v>400</v>
      </c>
      <c r="K817" s="2">
        <v>1.5</v>
      </c>
      <c r="L817" s="2">
        <v>345</v>
      </c>
      <c r="M817" s="2">
        <v>255</v>
      </c>
    </row>
    <row r="818" spans="1:13" x14ac:dyDescent="0.2">
      <c r="A818" s="2" t="s">
        <v>805</v>
      </c>
      <c r="B818" s="2" t="s">
        <v>806</v>
      </c>
      <c r="C818" s="2" t="s">
        <v>1366</v>
      </c>
      <c r="D818" s="2" t="s">
        <v>52</v>
      </c>
      <c r="E818" s="2" t="s">
        <v>4128</v>
      </c>
      <c r="F818" s="5"/>
      <c r="G818" s="4">
        <v>0</v>
      </c>
      <c r="H818" s="4"/>
      <c r="I818" s="2" t="s">
        <v>33</v>
      </c>
      <c r="J818" s="2">
        <v>400</v>
      </c>
      <c r="K818" s="2">
        <v>1.5</v>
      </c>
      <c r="L818" s="2">
        <v>0</v>
      </c>
      <c r="M818" s="2">
        <v>600</v>
      </c>
    </row>
    <row r="819" spans="1:13" x14ac:dyDescent="0.2">
      <c r="A819" s="2" t="s">
        <v>845</v>
      </c>
      <c r="B819" s="2" t="s">
        <v>846</v>
      </c>
      <c r="C819" s="2" t="s">
        <v>91</v>
      </c>
      <c r="D819" s="2" t="s">
        <v>52</v>
      </c>
      <c r="E819" s="2" t="s">
        <v>4128</v>
      </c>
      <c r="F819" s="5"/>
      <c r="G819" s="4">
        <v>0</v>
      </c>
      <c r="H819" s="4"/>
      <c r="I819" s="2" t="s">
        <v>33</v>
      </c>
      <c r="J819" s="2">
        <v>400</v>
      </c>
      <c r="K819" s="2">
        <v>1.5</v>
      </c>
      <c r="L819" s="2">
        <v>0</v>
      </c>
      <c r="M819" s="2">
        <v>600</v>
      </c>
    </row>
    <row r="820" spans="1:13" x14ac:dyDescent="0.2">
      <c r="A820" s="2" t="s">
        <v>3738</v>
      </c>
      <c r="B820" s="2" t="s">
        <v>3739</v>
      </c>
      <c r="C820" s="2" t="s">
        <v>91</v>
      </c>
      <c r="D820" s="2" t="s">
        <v>52</v>
      </c>
      <c r="E820" s="2" t="s">
        <v>4128</v>
      </c>
      <c r="F820" s="5"/>
      <c r="G820" s="4">
        <v>0</v>
      </c>
      <c r="H820" s="4"/>
      <c r="I820" s="2" t="s">
        <v>33</v>
      </c>
      <c r="J820" s="2">
        <v>400</v>
      </c>
      <c r="K820" s="2">
        <v>1.5</v>
      </c>
      <c r="L820" s="2">
        <v>0</v>
      </c>
      <c r="M820" s="2">
        <v>600</v>
      </c>
    </row>
    <row r="821" spans="1:13" x14ac:dyDescent="0.2">
      <c r="A821" s="2" t="s">
        <v>3740</v>
      </c>
      <c r="B821" s="2" t="s">
        <v>3741</v>
      </c>
      <c r="C821" s="2" t="s">
        <v>592</v>
      </c>
      <c r="D821" s="2" t="s">
        <v>52</v>
      </c>
      <c r="E821" s="2" t="s">
        <v>4128</v>
      </c>
      <c r="F821" s="5"/>
      <c r="G821" s="4">
        <v>0</v>
      </c>
      <c r="H821" s="4"/>
      <c r="I821" s="2" t="s">
        <v>33</v>
      </c>
      <c r="J821" s="2">
        <v>400</v>
      </c>
      <c r="K821" s="2">
        <v>1.5</v>
      </c>
      <c r="L821" s="2">
        <v>0</v>
      </c>
      <c r="M821" s="2">
        <v>600</v>
      </c>
    </row>
    <row r="822" spans="1:13" x14ac:dyDescent="0.2">
      <c r="A822" s="2" t="s">
        <v>875</v>
      </c>
      <c r="B822" s="2" t="s">
        <v>876</v>
      </c>
      <c r="C822" s="2" t="s">
        <v>66</v>
      </c>
      <c r="D822" s="2" t="s">
        <v>52</v>
      </c>
      <c r="E822" s="2" t="s">
        <v>4128</v>
      </c>
      <c r="F822" s="5"/>
      <c r="G822" s="4">
        <v>0</v>
      </c>
      <c r="H822" s="4"/>
      <c r="I822" s="2" t="s">
        <v>33</v>
      </c>
      <c r="J822" s="2">
        <v>400</v>
      </c>
      <c r="K822" s="2">
        <v>1.5</v>
      </c>
      <c r="L822" s="2">
        <v>0</v>
      </c>
      <c r="M822" s="2">
        <v>600</v>
      </c>
    </row>
    <row r="823" spans="1:13" x14ac:dyDescent="0.2">
      <c r="A823" s="2" t="s">
        <v>3742</v>
      </c>
      <c r="B823" s="2" t="s">
        <v>3743</v>
      </c>
      <c r="C823" s="2" t="s">
        <v>4125</v>
      </c>
      <c r="D823" s="2" t="s">
        <v>52</v>
      </c>
      <c r="E823" s="2" t="s">
        <v>4128</v>
      </c>
      <c r="F823" s="5"/>
      <c r="G823" s="4">
        <v>0</v>
      </c>
      <c r="H823" s="4"/>
      <c r="I823" s="2" t="s">
        <v>33</v>
      </c>
      <c r="J823" s="2">
        <v>400</v>
      </c>
      <c r="K823" s="2">
        <v>1.5</v>
      </c>
      <c r="L823" s="2">
        <v>0</v>
      </c>
      <c r="M823" s="2">
        <v>600</v>
      </c>
    </row>
    <row r="824" spans="1:13" x14ac:dyDescent="0.2">
      <c r="A824" s="2" t="s">
        <v>3744</v>
      </c>
      <c r="B824" s="2" t="s">
        <v>3745</v>
      </c>
      <c r="C824" s="2" t="s">
        <v>592</v>
      </c>
      <c r="D824" s="2" t="s">
        <v>52</v>
      </c>
      <c r="E824" s="2" t="s">
        <v>4128</v>
      </c>
      <c r="F824" s="5"/>
      <c r="G824" s="4">
        <v>0</v>
      </c>
      <c r="H824" s="4"/>
      <c r="I824" s="2" t="s">
        <v>33</v>
      </c>
      <c r="J824" s="2">
        <v>400</v>
      </c>
      <c r="K824" s="2">
        <v>1.5</v>
      </c>
      <c r="L824" s="2">
        <v>0</v>
      </c>
      <c r="M824" s="2">
        <v>600</v>
      </c>
    </row>
    <row r="825" spans="1:13" x14ac:dyDescent="0.2">
      <c r="A825" s="2" t="s">
        <v>3746</v>
      </c>
      <c r="B825" s="2" t="s">
        <v>3747</v>
      </c>
      <c r="C825" s="2" t="s">
        <v>66</v>
      </c>
      <c r="D825" s="2" t="s">
        <v>52</v>
      </c>
      <c r="E825" s="2" t="s">
        <v>4128</v>
      </c>
      <c r="F825" s="5"/>
      <c r="G825" s="4">
        <v>0</v>
      </c>
      <c r="H825" s="4"/>
      <c r="I825" s="2" t="s">
        <v>33</v>
      </c>
      <c r="J825" s="2">
        <v>400</v>
      </c>
      <c r="K825" s="2">
        <v>1.5</v>
      </c>
      <c r="L825" s="2">
        <v>0</v>
      </c>
      <c r="M825" s="2">
        <v>600</v>
      </c>
    </row>
    <row r="826" spans="1:13" x14ac:dyDescent="0.2">
      <c r="A826" s="2" t="s">
        <v>125</v>
      </c>
      <c r="B826" s="2" t="s">
        <v>126</v>
      </c>
      <c r="C826" s="2" t="s">
        <v>1366</v>
      </c>
      <c r="D826" s="2" t="s">
        <v>52</v>
      </c>
      <c r="E826" s="2" t="s">
        <v>4128</v>
      </c>
      <c r="F826" s="5"/>
      <c r="G826" s="4">
        <v>0</v>
      </c>
      <c r="H826" s="4"/>
      <c r="I826" s="2" t="s">
        <v>1374</v>
      </c>
      <c r="J826" s="2">
        <v>400</v>
      </c>
      <c r="K826" s="2">
        <v>1.5</v>
      </c>
      <c r="L826" s="2">
        <v>600</v>
      </c>
      <c r="M826" s="2">
        <v>0</v>
      </c>
    </row>
    <row r="827" spans="1:13" x14ac:dyDescent="0.2">
      <c r="A827" s="2" t="s">
        <v>1179</v>
      </c>
      <c r="B827" s="2" t="s">
        <v>1180</v>
      </c>
      <c r="C827" s="2" t="s">
        <v>91</v>
      </c>
      <c r="D827" s="2" t="s">
        <v>52</v>
      </c>
      <c r="E827" s="2" t="s">
        <v>4128</v>
      </c>
      <c r="F827" s="5"/>
      <c r="G827" s="4">
        <v>0</v>
      </c>
      <c r="H827" s="4"/>
      <c r="I827" s="2" t="s">
        <v>1375</v>
      </c>
      <c r="J827" s="2">
        <v>400</v>
      </c>
      <c r="K827" s="2">
        <v>1.5</v>
      </c>
      <c r="L827" s="2">
        <v>345</v>
      </c>
      <c r="M827" s="2">
        <v>255</v>
      </c>
    </row>
    <row r="828" spans="1:13" x14ac:dyDescent="0.2">
      <c r="A828" s="2" t="s">
        <v>609</v>
      </c>
      <c r="B828" s="2" t="s">
        <v>610</v>
      </c>
      <c r="C828" s="2" t="s">
        <v>592</v>
      </c>
      <c r="D828" s="2" t="s">
        <v>52</v>
      </c>
      <c r="E828" s="2" t="s">
        <v>4128</v>
      </c>
      <c r="F828" s="5"/>
      <c r="G828" s="4">
        <v>0</v>
      </c>
      <c r="H828" s="4"/>
      <c r="I828" s="2" t="s">
        <v>37</v>
      </c>
      <c r="J828" s="2">
        <v>400</v>
      </c>
      <c r="K828" s="2">
        <v>1.5</v>
      </c>
      <c r="L828" s="2">
        <v>0</v>
      </c>
      <c r="M828" s="2">
        <v>600</v>
      </c>
    </row>
    <row r="829" spans="1:13" x14ac:dyDescent="0.2">
      <c r="A829" s="2" t="s">
        <v>3748</v>
      </c>
      <c r="B829" s="2" t="s">
        <v>3749</v>
      </c>
      <c r="C829" s="2" t="s">
        <v>91</v>
      </c>
      <c r="D829" s="2" t="s">
        <v>52</v>
      </c>
      <c r="E829" s="2" t="s">
        <v>4128</v>
      </c>
      <c r="F829" s="5"/>
      <c r="G829" s="4">
        <v>0</v>
      </c>
      <c r="H829" s="4"/>
      <c r="I829" s="2" t="s">
        <v>37</v>
      </c>
      <c r="J829" s="2">
        <v>400</v>
      </c>
      <c r="K829" s="2">
        <v>1.5</v>
      </c>
      <c r="L829" s="2">
        <v>0</v>
      </c>
      <c r="M829" s="2">
        <v>600</v>
      </c>
    </row>
    <row r="830" spans="1:13" x14ac:dyDescent="0.2">
      <c r="A830" s="2" t="s">
        <v>3750</v>
      </c>
      <c r="B830" s="2" t="s">
        <v>3751</v>
      </c>
      <c r="C830" s="2" t="s">
        <v>94</v>
      </c>
      <c r="D830" s="2" t="s">
        <v>52</v>
      </c>
      <c r="E830" s="2" t="s">
        <v>4128</v>
      </c>
      <c r="F830" s="5"/>
      <c r="G830" s="4">
        <v>0</v>
      </c>
      <c r="H830" s="4"/>
      <c r="I830" s="2" t="s">
        <v>37</v>
      </c>
      <c r="J830" s="2">
        <v>400</v>
      </c>
      <c r="K830" s="2">
        <v>1.5</v>
      </c>
      <c r="L830" s="2">
        <v>0</v>
      </c>
      <c r="M830" s="2">
        <v>600</v>
      </c>
    </row>
    <row r="831" spans="1:13" x14ac:dyDescent="0.2">
      <c r="A831" s="2" t="s">
        <v>579</v>
      </c>
      <c r="B831" s="2" t="s">
        <v>580</v>
      </c>
      <c r="C831" s="2" t="s">
        <v>19</v>
      </c>
      <c r="D831" s="2" t="s">
        <v>52</v>
      </c>
      <c r="E831" s="2" t="s">
        <v>4128</v>
      </c>
      <c r="F831" s="5"/>
      <c r="G831" s="4">
        <v>0</v>
      </c>
      <c r="H831" s="4"/>
      <c r="I831" s="2" t="s">
        <v>37</v>
      </c>
      <c r="J831" s="2">
        <v>400</v>
      </c>
      <c r="K831" s="2">
        <v>1.5</v>
      </c>
      <c r="L831" s="2">
        <v>810</v>
      </c>
      <c r="M831" s="2">
        <v>0</v>
      </c>
    </row>
    <row r="832" spans="1:13" x14ac:dyDescent="0.2">
      <c r="A832" s="2" t="s">
        <v>239</v>
      </c>
      <c r="B832" s="2" t="s">
        <v>240</v>
      </c>
      <c r="C832" s="2" t="s">
        <v>19</v>
      </c>
      <c r="D832" s="2" t="s">
        <v>52</v>
      </c>
      <c r="E832" s="2" t="s">
        <v>4128</v>
      </c>
      <c r="F832" s="5"/>
      <c r="G832" s="4">
        <v>0</v>
      </c>
      <c r="H832" s="4"/>
      <c r="I832" s="2" t="s">
        <v>37</v>
      </c>
      <c r="J832" s="2">
        <v>400</v>
      </c>
      <c r="K832" s="2">
        <v>1.5</v>
      </c>
      <c r="L832" s="2">
        <v>345</v>
      </c>
      <c r="M832" s="2">
        <v>255</v>
      </c>
    </row>
    <row r="833" spans="1:13" x14ac:dyDescent="0.2">
      <c r="A833" s="2" t="s">
        <v>417</v>
      </c>
      <c r="B833" s="2" t="s">
        <v>418</v>
      </c>
      <c r="C833" s="2" t="s">
        <v>7</v>
      </c>
      <c r="D833" s="2" t="s">
        <v>52</v>
      </c>
      <c r="E833" s="2" t="s">
        <v>4128</v>
      </c>
      <c r="F833" s="5"/>
      <c r="G833" s="4">
        <v>0</v>
      </c>
      <c r="H833" s="4"/>
      <c r="I833" s="2" t="s">
        <v>37</v>
      </c>
      <c r="J833" s="2">
        <v>400</v>
      </c>
      <c r="K833" s="2">
        <v>1.5</v>
      </c>
      <c r="L833" s="2">
        <v>810</v>
      </c>
      <c r="M833" s="2">
        <v>0</v>
      </c>
    </row>
    <row r="834" spans="1:13" x14ac:dyDescent="0.2">
      <c r="A834" s="2" t="s">
        <v>915</v>
      </c>
      <c r="B834" s="2" t="s">
        <v>916</v>
      </c>
      <c r="C834" s="2" t="s">
        <v>94</v>
      </c>
      <c r="D834" s="2" t="s">
        <v>52</v>
      </c>
      <c r="E834" s="2" t="s">
        <v>4128</v>
      </c>
      <c r="F834" s="5"/>
      <c r="G834" s="4">
        <v>0</v>
      </c>
      <c r="H834" s="4"/>
      <c r="I834" s="2" t="s">
        <v>37</v>
      </c>
      <c r="J834" s="2">
        <v>400</v>
      </c>
      <c r="K834" s="2">
        <v>1.5</v>
      </c>
      <c r="L834" s="2">
        <v>0</v>
      </c>
      <c r="M834" s="2">
        <v>600</v>
      </c>
    </row>
    <row r="835" spans="1:13" x14ac:dyDescent="0.2">
      <c r="A835" s="2" t="s">
        <v>527</v>
      </c>
      <c r="B835" s="2" t="s">
        <v>528</v>
      </c>
      <c r="C835" s="2" t="s">
        <v>7</v>
      </c>
      <c r="D835" s="2" t="s">
        <v>52</v>
      </c>
      <c r="E835" s="2" t="s">
        <v>4128</v>
      </c>
      <c r="F835" s="5"/>
      <c r="G835" s="4">
        <v>0</v>
      </c>
      <c r="H835" s="4"/>
      <c r="I835" s="2" t="s">
        <v>37</v>
      </c>
      <c r="J835" s="2">
        <v>400</v>
      </c>
      <c r="K835" s="2">
        <v>1.5</v>
      </c>
      <c r="L835" s="2">
        <v>810</v>
      </c>
      <c r="M835" s="2">
        <v>0</v>
      </c>
    </row>
    <row r="836" spans="1:13" x14ac:dyDescent="0.2">
      <c r="A836" s="2" t="s">
        <v>1243</v>
      </c>
      <c r="B836" s="2" t="s">
        <v>1244</v>
      </c>
      <c r="C836" s="2" t="s">
        <v>19</v>
      </c>
      <c r="D836" s="2" t="s">
        <v>52</v>
      </c>
      <c r="E836" s="2" t="s">
        <v>4128</v>
      </c>
      <c r="F836" s="5"/>
      <c r="G836" s="4">
        <v>0</v>
      </c>
      <c r="H836" s="4"/>
      <c r="I836" s="2" t="s">
        <v>37</v>
      </c>
      <c r="J836" s="2">
        <v>400</v>
      </c>
      <c r="K836" s="2">
        <v>1.5</v>
      </c>
      <c r="L836" s="2">
        <v>345</v>
      </c>
      <c r="M836" s="2">
        <v>255</v>
      </c>
    </row>
    <row r="837" spans="1:13" x14ac:dyDescent="0.2">
      <c r="A837" s="2" t="s">
        <v>355</v>
      </c>
      <c r="B837" s="2" t="s">
        <v>356</v>
      </c>
      <c r="C837" s="2" t="s">
        <v>94</v>
      </c>
      <c r="D837" s="2" t="s">
        <v>52</v>
      </c>
      <c r="E837" s="2" t="s">
        <v>4128</v>
      </c>
      <c r="F837" s="5"/>
      <c r="G837" s="4">
        <v>0</v>
      </c>
      <c r="H837" s="4"/>
      <c r="I837" s="2" t="s">
        <v>37</v>
      </c>
      <c r="J837" s="2">
        <v>400</v>
      </c>
      <c r="K837" s="2">
        <v>1.5</v>
      </c>
      <c r="L837" s="2">
        <v>345</v>
      </c>
      <c r="M837" s="2">
        <v>255</v>
      </c>
    </row>
    <row r="838" spans="1:13" x14ac:dyDescent="0.2">
      <c r="A838" s="2" t="s">
        <v>347</v>
      </c>
      <c r="B838" s="2" t="s">
        <v>348</v>
      </c>
      <c r="C838" s="2" t="s">
        <v>94</v>
      </c>
      <c r="D838" s="2" t="s">
        <v>52</v>
      </c>
      <c r="E838" s="2" t="s">
        <v>4128</v>
      </c>
      <c r="F838" s="5"/>
      <c r="G838" s="4">
        <v>0</v>
      </c>
      <c r="H838" s="4"/>
      <c r="I838" s="2" t="s">
        <v>37</v>
      </c>
      <c r="J838" s="2">
        <v>400</v>
      </c>
      <c r="K838" s="2">
        <v>1.5</v>
      </c>
      <c r="L838" s="2">
        <v>810</v>
      </c>
      <c r="M838" s="2">
        <v>0</v>
      </c>
    </row>
    <row r="839" spans="1:13" x14ac:dyDescent="0.2">
      <c r="A839" s="2" t="s">
        <v>319</v>
      </c>
      <c r="B839" s="2" t="s">
        <v>320</v>
      </c>
      <c r="C839" s="2" t="s">
        <v>7</v>
      </c>
      <c r="D839" s="2" t="s">
        <v>52</v>
      </c>
      <c r="E839" s="2" t="s">
        <v>4128</v>
      </c>
      <c r="F839" s="5"/>
      <c r="G839" s="4">
        <v>0</v>
      </c>
      <c r="H839" s="4"/>
      <c r="I839" s="2" t="s">
        <v>4101</v>
      </c>
      <c r="J839" s="2">
        <v>400</v>
      </c>
      <c r="K839" s="2">
        <v>1.5</v>
      </c>
      <c r="L839" s="2">
        <v>810</v>
      </c>
      <c r="M839" s="2">
        <v>0</v>
      </c>
    </row>
    <row r="840" spans="1:13" x14ac:dyDescent="0.2">
      <c r="A840" s="2" t="s">
        <v>949</v>
      </c>
      <c r="B840" s="2" t="s">
        <v>950</v>
      </c>
      <c r="C840" s="2" t="s">
        <v>7</v>
      </c>
      <c r="D840" s="2" t="s">
        <v>52</v>
      </c>
      <c r="E840" s="2" t="s">
        <v>4128</v>
      </c>
      <c r="F840" s="5"/>
      <c r="G840" s="4">
        <v>0</v>
      </c>
      <c r="H840" s="4"/>
      <c r="I840" s="2" t="s">
        <v>4101</v>
      </c>
      <c r="J840" s="2">
        <v>400</v>
      </c>
      <c r="K840" s="2">
        <v>1.5</v>
      </c>
      <c r="L840" s="2">
        <v>0</v>
      </c>
      <c r="M840" s="2">
        <v>600</v>
      </c>
    </row>
    <row r="841" spans="1:13" x14ac:dyDescent="0.2">
      <c r="A841" s="4" t="s">
        <v>3752</v>
      </c>
      <c r="B841" s="4" t="s">
        <v>3753</v>
      </c>
      <c r="C841" s="4" t="s">
        <v>4124</v>
      </c>
      <c r="D841" s="4" t="s">
        <v>63</v>
      </c>
      <c r="E841" s="4" t="s">
        <v>88</v>
      </c>
      <c r="F841" s="5"/>
      <c r="G841" s="4">
        <v>0</v>
      </c>
      <c r="H841" s="4"/>
      <c r="I841" s="4" t="s">
        <v>42</v>
      </c>
      <c r="J841" s="4">
        <v>400</v>
      </c>
      <c r="K841" s="4">
        <v>1.5</v>
      </c>
      <c r="L841" s="4">
        <v>0</v>
      </c>
      <c r="M841" s="4">
        <v>600</v>
      </c>
    </row>
    <row r="842" spans="1:13" x14ac:dyDescent="0.2">
      <c r="A842" s="2" t="s">
        <v>1301</v>
      </c>
      <c r="B842" s="2" t="s">
        <v>1302</v>
      </c>
      <c r="C842" s="2" t="s">
        <v>592</v>
      </c>
      <c r="D842" s="2" t="s">
        <v>52</v>
      </c>
      <c r="E842" s="2" t="s">
        <v>4128</v>
      </c>
      <c r="F842" s="5">
        <v>45916</v>
      </c>
      <c r="G842" s="4">
        <v>33277.289999999899</v>
      </c>
      <c r="H842" s="4"/>
      <c r="I842" s="2" t="s">
        <v>42</v>
      </c>
      <c r="J842" s="2">
        <v>400</v>
      </c>
      <c r="K842" s="2">
        <v>1.5</v>
      </c>
      <c r="L842" s="2">
        <v>600</v>
      </c>
      <c r="M842" s="2">
        <v>0</v>
      </c>
    </row>
    <row r="843" spans="1:13" x14ac:dyDescent="0.2">
      <c r="A843" s="2" t="s">
        <v>669</v>
      </c>
      <c r="B843" s="2" t="s">
        <v>670</v>
      </c>
      <c r="C843" s="2" t="s">
        <v>1366</v>
      </c>
      <c r="D843" s="2" t="s">
        <v>52</v>
      </c>
      <c r="E843" s="2" t="s">
        <v>4128</v>
      </c>
      <c r="F843" s="5"/>
      <c r="G843" s="4">
        <v>0</v>
      </c>
      <c r="H843" s="4"/>
      <c r="I843" s="2" t="s">
        <v>42</v>
      </c>
      <c r="J843" s="2">
        <v>400</v>
      </c>
      <c r="K843" s="2">
        <v>1.5</v>
      </c>
      <c r="L843" s="2">
        <v>0</v>
      </c>
      <c r="M843" s="2">
        <v>600</v>
      </c>
    </row>
    <row r="844" spans="1:13" x14ac:dyDescent="0.2">
      <c r="A844" s="2" t="s">
        <v>1041</v>
      </c>
      <c r="B844" s="2" t="s">
        <v>1042</v>
      </c>
      <c r="C844" s="2" t="s">
        <v>94</v>
      </c>
      <c r="D844" s="2" t="s">
        <v>52</v>
      </c>
      <c r="E844" s="2" t="s">
        <v>4128</v>
      </c>
      <c r="F844" s="5"/>
      <c r="G844" s="4">
        <v>0</v>
      </c>
      <c r="H844" s="4"/>
      <c r="I844" s="2" t="s">
        <v>42</v>
      </c>
      <c r="J844" s="2">
        <v>400</v>
      </c>
      <c r="K844" s="2">
        <v>1.5</v>
      </c>
      <c r="L844" s="2">
        <v>210</v>
      </c>
      <c r="M844" s="2">
        <v>390</v>
      </c>
    </row>
    <row r="845" spans="1:13" x14ac:dyDescent="0.2">
      <c r="A845" s="2" t="s">
        <v>137</v>
      </c>
      <c r="B845" s="2" t="s">
        <v>138</v>
      </c>
      <c r="C845" s="2" t="s">
        <v>94</v>
      </c>
      <c r="D845" s="2" t="s">
        <v>52</v>
      </c>
      <c r="E845" s="2" t="s">
        <v>4128</v>
      </c>
      <c r="F845" s="5"/>
      <c r="G845" s="4">
        <v>0</v>
      </c>
      <c r="H845" s="4"/>
      <c r="I845" s="2" t="s">
        <v>42</v>
      </c>
      <c r="J845" s="2">
        <v>400</v>
      </c>
      <c r="K845" s="2">
        <v>1.5</v>
      </c>
      <c r="L845" s="2">
        <v>345</v>
      </c>
      <c r="M845" s="2">
        <v>255</v>
      </c>
    </row>
    <row r="846" spans="1:13" x14ac:dyDescent="0.2">
      <c r="A846" s="4" t="s">
        <v>3754</v>
      </c>
      <c r="B846" s="4" t="s">
        <v>3755</v>
      </c>
      <c r="C846" s="4" t="s">
        <v>592</v>
      </c>
      <c r="D846" s="4" t="s">
        <v>88</v>
      </c>
      <c r="E846" s="4" t="s">
        <v>88</v>
      </c>
      <c r="F846" s="5"/>
      <c r="G846" s="4">
        <v>0</v>
      </c>
      <c r="H846" s="4"/>
      <c r="I846" s="4" t="s">
        <v>42</v>
      </c>
      <c r="J846" s="4">
        <v>400</v>
      </c>
      <c r="K846" s="4">
        <v>1.5</v>
      </c>
      <c r="L846" s="4">
        <v>0</v>
      </c>
      <c r="M846" s="4">
        <v>600</v>
      </c>
    </row>
    <row r="847" spans="1:13" x14ac:dyDescent="0.2">
      <c r="A847" s="2" t="s">
        <v>459</v>
      </c>
      <c r="B847" s="2" t="s">
        <v>460</v>
      </c>
      <c r="C847" s="2" t="s">
        <v>7</v>
      </c>
      <c r="D847" s="2" t="s">
        <v>52</v>
      </c>
      <c r="E847" s="2" t="s">
        <v>4128</v>
      </c>
      <c r="F847" s="5"/>
      <c r="G847" s="4">
        <v>0</v>
      </c>
      <c r="H847" s="4"/>
      <c r="I847" s="2" t="s">
        <v>42</v>
      </c>
      <c r="J847" s="2">
        <v>400</v>
      </c>
      <c r="K847" s="2">
        <v>1.5</v>
      </c>
      <c r="L847" s="2">
        <v>810</v>
      </c>
      <c r="M847" s="2">
        <v>0</v>
      </c>
    </row>
    <row r="848" spans="1:13" x14ac:dyDescent="0.2">
      <c r="A848" s="2" t="s">
        <v>1069</v>
      </c>
      <c r="B848" s="2" t="s">
        <v>1070</v>
      </c>
      <c r="C848" s="2" t="s">
        <v>91</v>
      </c>
      <c r="D848" s="2" t="s">
        <v>52</v>
      </c>
      <c r="E848" s="2" t="s">
        <v>4128</v>
      </c>
      <c r="F848" s="5"/>
      <c r="G848" s="4">
        <v>0</v>
      </c>
      <c r="H848" s="4"/>
      <c r="I848" s="2" t="s">
        <v>42</v>
      </c>
      <c r="J848" s="2">
        <v>400</v>
      </c>
      <c r="K848" s="2">
        <v>1.5</v>
      </c>
      <c r="L848" s="2">
        <v>210</v>
      </c>
      <c r="M848" s="2">
        <v>390</v>
      </c>
    </row>
    <row r="849" spans="1:13" x14ac:dyDescent="0.2">
      <c r="A849" s="2" t="s">
        <v>3756</v>
      </c>
      <c r="B849" s="2" t="s">
        <v>3757</v>
      </c>
      <c r="C849" s="2" t="s">
        <v>19</v>
      </c>
      <c r="D849" s="2" t="s">
        <v>52</v>
      </c>
      <c r="E849" s="2" t="s">
        <v>4128</v>
      </c>
      <c r="F849" s="5"/>
      <c r="G849" s="4">
        <v>0</v>
      </c>
      <c r="H849" s="4"/>
      <c r="I849" s="2" t="s">
        <v>42</v>
      </c>
      <c r="J849" s="2">
        <v>400</v>
      </c>
      <c r="K849" s="2">
        <v>1.5</v>
      </c>
      <c r="L849" s="2">
        <v>0</v>
      </c>
      <c r="M849" s="2">
        <v>600</v>
      </c>
    </row>
    <row r="850" spans="1:13" x14ac:dyDescent="0.2">
      <c r="A850" s="2" t="s">
        <v>461</v>
      </c>
      <c r="B850" s="2" t="s">
        <v>462</v>
      </c>
      <c r="C850" s="2" t="s">
        <v>4125</v>
      </c>
      <c r="D850" s="2" t="s">
        <v>52</v>
      </c>
      <c r="E850" s="2" t="s">
        <v>4128</v>
      </c>
      <c r="F850" s="5"/>
      <c r="G850" s="4">
        <v>0</v>
      </c>
      <c r="H850" s="4"/>
      <c r="I850" s="2" t="s">
        <v>42</v>
      </c>
      <c r="J850" s="2">
        <v>400</v>
      </c>
      <c r="K850" s="2">
        <v>1.5</v>
      </c>
      <c r="L850" s="2">
        <v>600</v>
      </c>
      <c r="M850" s="2">
        <v>0</v>
      </c>
    </row>
    <row r="851" spans="1:13" x14ac:dyDescent="0.2">
      <c r="A851" s="2" t="s">
        <v>4070</v>
      </c>
      <c r="B851" s="2" t="s">
        <v>4071</v>
      </c>
      <c r="C851" s="2" t="s">
        <v>4125</v>
      </c>
      <c r="D851" s="2" t="s">
        <v>52</v>
      </c>
      <c r="E851" s="2" t="s">
        <v>4128</v>
      </c>
      <c r="F851" s="5"/>
      <c r="G851" s="4">
        <v>0</v>
      </c>
      <c r="H851" s="4"/>
      <c r="I851" s="2" t="s">
        <v>42</v>
      </c>
      <c r="J851" s="2">
        <v>400</v>
      </c>
      <c r="K851" s="2">
        <v>1.5</v>
      </c>
      <c r="L851" s="2">
        <v>0</v>
      </c>
      <c r="M851" s="2">
        <v>600</v>
      </c>
    </row>
    <row r="852" spans="1:13" x14ac:dyDescent="0.2">
      <c r="A852" s="4" t="s">
        <v>3758</v>
      </c>
      <c r="B852" s="4" t="s">
        <v>3759</v>
      </c>
      <c r="C852" s="4" t="s">
        <v>4124</v>
      </c>
      <c r="D852" s="4" t="s">
        <v>63</v>
      </c>
      <c r="E852" s="4" t="s">
        <v>88</v>
      </c>
      <c r="F852" s="5"/>
      <c r="G852" s="4">
        <v>0</v>
      </c>
      <c r="H852" s="4"/>
      <c r="I852" s="4" t="s">
        <v>42</v>
      </c>
      <c r="J852" s="4">
        <v>400</v>
      </c>
      <c r="K852" s="4">
        <v>1.5</v>
      </c>
      <c r="L852" s="4">
        <v>0</v>
      </c>
      <c r="M852" s="4">
        <v>600</v>
      </c>
    </row>
    <row r="853" spans="1:13" x14ac:dyDescent="0.2">
      <c r="A853" s="2" t="s">
        <v>1277</v>
      </c>
      <c r="B853" s="2" t="s">
        <v>1278</v>
      </c>
      <c r="C853" s="2" t="s">
        <v>1366</v>
      </c>
      <c r="D853" s="2" t="s">
        <v>52</v>
      </c>
      <c r="E853" s="2" t="s">
        <v>4128</v>
      </c>
      <c r="F853" s="5"/>
      <c r="G853" s="4">
        <v>0</v>
      </c>
      <c r="H853" s="4"/>
      <c r="I853" s="2" t="s">
        <v>42</v>
      </c>
      <c r="J853" s="2">
        <v>400</v>
      </c>
      <c r="K853" s="2">
        <v>1.5</v>
      </c>
      <c r="L853" s="2">
        <v>600</v>
      </c>
      <c r="M853" s="2">
        <v>0</v>
      </c>
    </row>
    <row r="854" spans="1:13" x14ac:dyDescent="0.2">
      <c r="A854" s="2" t="s">
        <v>549</v>
      </c>
      <c r="B854" s="2" t="s">
        <v>550</v>
      </c>
      <c r="C854" s="2" t="s">
        <v>94</v>
      </c>
      <c r="D854" s="2" t="s">
        <v>52</v>
      </c>
      <c r="E854" s="2" t="s">
        <v>4128</v>
      </c>
      <c r="F854" s="5"/>
      <c r="G854" s="4">
        <v>0</v>
      </c>
      <c r="H854" s="4"/>
      <c r="I854" s="2" t="s">
        <v>42</v>
      </c>
      <c r="J854" s="2">
        <v>400</v>
      </c>
      <c r="K854" s="2">
        <v>1.5</v>
      </c>
      <c r="L854" s="2">
        <v>345</v>
      </c>
      <c r="M854" s="2">
        <v>255</v>
      </c>
    </row>
    <row r="855" spans="1:13" x14ac:dyDescent="0.2">
      <c r="A855" s="2" t="s">
        <v>309</v>
      </c>
      <c r="B855" s="2" t="s">
        <v>310</v>
      </c>
      <c r="C855" s="2" t="s">
        <v>54</v>
      </c>
      <c r="D855" s="2" t="s">
        <v>52</v>
      </c>
      <c r="E855" s="2" t="s">
        <v>4128</v>
      </c>
      <c r="F855" s="5"/>
      <c r="G855" s="4">
        <v>0</v>
      </c>
      <c r="H855" s="4"/>
      <c r="I855" s="2" t="s">
        <v>42</v>
      </c>
      <c r="J855" s="2">
        <v>400</v>
      </c>
      <c r="K855" s="2">
        <v>1.5</v>
      </c>
      <c r="L855" s="2">
        <v>210</v>
      </c>
      <c r="M855" s="2">
        <v>390</v>
      </c>
    </row>
    <row r="856" spans="1:13" x14ac:dyDescent="0.2">
      <c r="A856" s="2" t="s">
        <v>1109</v>
      </c>
      <c r="B856" s="2" t="s">
        <v>1110</v>
      </c>
      <c r="C856" s="2" t="s">
        <v>7</v>
      </c>
      <c r="D856" s="2" t="s">
        <v>52</v>
      </c>
      <c r="E856" s="2" t="s">
        <v>4128</v>
      </c>
      <c r="F856" s="5"/>
      <c r="G856" s="4">
        <v>0</v>
      </c>
      <c r="H856" s="4"/>
      <c r="I856" s="2" t="s">
        <v>42</v>
      </c>
      <c r="J856" s="2">
        <v>400</v>
      </c>
      <c r="K856" s="2">
        <v>1.5</v>
      </c>
      <c r="L856" s="2">
        <v>210</v>
      </c>
      <c r="M856" s="2">
        <v>390</v>
      </c>
    </row>
    <row r="857" spans="1:13" x14ac:dyDescent="0.2">
      <c r="A857" s="2" t="s">
        <v>1281</v>
      </c>
      <c r="B857" s="2" t="s">
        <v>1282</v>
      </c>
      <c r="C857" s="2" t="s">
        <v>7</v>
      </c>
      <c r="D857" s="2" t="s">
        <v>52</v>
      </c>
      <c r="E857" s="2" t="s">
        <v>4128</v>
      </c>
      <c r="F857" s="5"/>
      <c r="G857" s="4">
        <v>0</v>
      </c>
      <c r="H857" s="4"/>
      <c r="I857" s="2" t="s">
        <v>42</v>
      </c>
      <c r="J857" s="2">
        <v>400</v>
      </c>
      <c r="K857" s="2">
        <v>1.5</v>
      </c>
      <c r="L857" s="2">
        <v>600</v>
      </c>
      <c r="M857" s="2">
        <v>0</v>
      </c>
    </row>
    <row r="858" spans="1:13" x14ac:dyDescent="0.2">
      <c r="A858" s="2" t="s">
        <v>3760</v>
      </c>
      <c r="B858" s="2" t="s">
        <v>3761</v>
      </c>
      <c r="C858" s="2" t="s">
        <v>592</v>
      </c>
      <c r="D858" s="2" t="s">
        <v>52</v>
      </c>
      <c r="E858" s="2" t="s">
        <v>4128</v>
      </c>
      <c r="F858" s="5"/>
      <c r="G858" s="4">
        <v>0</v>
      </c>
      <c r="H858" s="4"/>
      <c r="I858" s="2" t="s">
        <v>42</v>
      </c>
      <c r="J858" s="2">
        <v>400</v>
      </c>
      <c r="K858" s="2">
        <v>1.5</v>
      </c>
      <c r="L858" s="2">
        <v>0</v>
      </c>
      <c r="M858" s="2">
        <v>600</v>
      </c>
    </row>
    <row r="859" spans="1:13" x14ac:dyDescent="0.2">
      <c r="A859" s="2" t="s">
        <v>1127</v>
      </c>
      <c r="B859" s="2" t="s">
        <v>1128</v>
      </c>
      <c r="C859" s="2" t="s">
        <v>94</v>
      </c>
      <c r="D859" s="2" t="s">
        <v>52</v>
      </c>
      <c r="E859" s="2" t="s">
        <v>4128</v>
      </c>
      <c r="F859" s="5"/>
      <c r="G859" s="4">
        <v>0</v>
      </c>
      <c r="H859" s="4"/>
      <c r="I859" s="2" t="s">
        <v>42</v>
      </c>
      <c r="J859" s="2">
        <v>400</v>
      </c>
      <c r="K859" s="2">
        <v>1.5</v>
      </c>
      <c r="L859" s="2">
        <v>210</v>
      </c>
      <c r="M859" s="2">
        <v>390</v>
      </c>
    </row>
    <row r="860" spans="1:13" x14ac:dyDescent="0.2">
      <c r="A860" s="2" t="s">
        <v>985</v>
      </c>
      <c r="B860" s="2" t="s">
        <v>986</v>
      </c>
      <c r="C860" s="2" t="s">
        <v>19</v>
      </c>
      <c r="D860" s="2" t="s">
        <v>52</v>
      </c>
      <c r="E860" s="2" t="s">
        <v>4128</v>
      </c>
      <c r="F860" s="5">
        <v>45947</v>
      </c>
      <c r="G860" s="4">
        <v>22475.55</v>
      </c>
      <c r="H860" s="4" t="s">
        <v>4134</v>
      </c>
      <c r="I860" s="2" t="s">
        <v>42</v>
      </c>
      <c r="J860" s="2">
        <v>400</v>
      </c>
      <c r="K860" s="2">
        <v>1.5</v>
      </c>
      <c r="L860" s="2">
        <v>0</v>
      </c>
      <c r="M860" s="2">
        <v>600</v>
      </c>
    </row>
    <row r="861" spans="1:13" x14ac:dyDescent="0.2">
      <c r="A861" s="2" t="s">
        <v>3762</v>
      </c>
      <c r="B861" s="2" t="s">
        <v>3763</v>
      </c>
      <c r="C861" s="2" t="s">
        <v>4125</v>
      </c>
      <c r="D861" s="2" t="s">
        <v>52</v>
      </c>
      <c r="E861" s="2" t="s">
        <v>4128</v>
      </c>
      <c r="F861" s="5"/>
      <c r="G861" s="4">
        <v>0</v>
      </c>
      <c r="H861" s="4"/>
      <c r="I861" s="2" t="s">
        <v>92</v>
      </c>
      <c r="J861" s="2">
        <v>400</v>
      </c>
      <c r="K861" s="2">
        <v>1.5</v>
      </c>
      <c r="L861" s="2">
        <v>0</v>
      </c>
      <c r="M861" s="2">
        <v>600</v>
      </c>
    </row>
    <row r="862" spans="1:13" x14ac:dyDescent="0.2">
      <c r="A862" s="2" t="s">
        <v>1165</v>
      </c>
      <c r="B862" s="2" t="s">
        <v>1166</v>
      </c>
      <c r="C862" s="2" t="s">
        <v>1366</v>
      </c>
      <c r="D862" s="2" t="s">
        <v>52</v>
      </c>
      <c r="E862" s="2" t="s">
        <v>4128</v>
      </c>
      <c r="F862" s="5"/>
      <c r="G862" s="4">
        <v>0</v>
      </c>
      <c r="H862" s="4"/>
      <c r="I862" s="2" t="s">
        <v>32</v>
      </c>
      <c r="J862" s="2">
        <v>400</v>
      </c>
      <c r="K862" s="2">
        <v>1.5</v>
      </c>
      <c r="L862" s="2">
        <v>345</v>
      </c>
      <c r="M862" s="2">
        <v>255</v>
      </c>
    </row>
    <row r="863" spans="1:13" x14ac:dyDescent="0.2">
      <c r="A863" s="2" t="s">
        <v>3764</v>
      </c>
      <c r="B863" s="2" t="s">
        <v>3765</v>
      </c>
      <c r="C863" s="2" t="s">
        <v>1366</v>
      </c>
      <c r="D863" s="2" t="s">
        <v>52</v>
      </c>
      <c r="E863" s="2" t="s">
        <v>4128</v>
      </c>
      <c r="F863" s="5"/>
      <c r="G863" s="4">
        <v>0</v>
      </c>
      <c r="H863" s="4"/>
      <c r="I863" s="2" t="s">
        <v>32</v>
      </c>
      <c r="J863" s="2">
        <v>400</v>
      </c>
      <c r="K863" s="2">
        <v>1.5</v>
      </c>
      <c r="L863" s="2">
        <v>0</v>
      </c>
      <c r="M863" s="2">
        <v>600</v>
      </c>
    </row>
    <row r="864" spans="1:13" x14ac:dyDescent="0.2">
      <c r="A864" s="2" t="s">
        <v>3766</v>
      </c>
      <c r="B864" s="2" t="s">
        <v>3767</v>
      </c>
      <c r="C864" s="2" t="s">
        <v>1366</v>
      </c>
      <c r="D864" s="2" t="s">
        <v>52</v>
      </c>
      <c r="E864" s="2" t="s">
        <v>4128</v>
      </c>
      <c r="F864" s="5">
        <v>45961</v>
      </c>
      <c r="G864" s="4">
        <v>10069</v>
      </c>
      <c r="H864" s="4" t="s">
        <v>4134</v>
      </c>
      <c r="I864" s="2" t="s">
        <v>32</v>
      </c>
      <c r="J864" s="2">
        <v>400</v>
      </c>
      <c r="K864" s="2">
        <v>1.5</v>
      </c>
      <c r="L864" s="2">
        <v>0</v>
      </c>
      <c r="M864" s="2">
        <v>600</v>
      </c>
    </row>
    <row r="865" spans="1:13" x14ac:dyDescent="0.2">
      <c r="A865" s="2" t="s">
        <v>695</v>
      </c>
      <c r="B865" s="2" t="s">
        <v>696</v>
      </c>
      <c r="C865" s="2" t="s">
        <v>4126</v>
      </c>
      <c r="D865" s="2" t="s">
        <v>52</v>
      </c>
      <c r="E865" s="2" t="s">
        <v>4128</v>
      </c>
      <c r="F865" s="5"/>
      <c r="G865" s="4">
        <v>0</v>
      </c>
      <c r="H865" s="4"/>
      <c r="I865" s="2" t="s">
        <v>32</v>
      </c>
      <c r="J865" s="2">
        <v>400</v>
      </c>
      <c r="K865" s="2">
        <v>1.5</v>
      </c>
      <c r="L865" s="2">
        <v>0</v>
      </c>
      <c r="M865" s="2">
        <v>600</v>
      </c>
    </row>
    <row r="866" spans="1:13" x14ac:dyDescent="0.2">
      <c r="A866" s="4" t="s">
        <v>1271</v>
      </c>
      <c r="B866" s="4" t="s">
        <v>1272</v>
      </c>
      <c r="C866" s="4" t="s">
        <v>4124</v>
      </c>
      <c r="D866" s="4" t="s">
        <v>45</v>
      </c>
      <c r="E866" s="4" t="s">
        <v>88</v>
      </c>
      <c r="F866" s="5"/>
      <c r="G866" s="4">
        <v>0</v>
      </c>
      <c r="H866" s="4"/>
      <c r="I866" s="4" t="s">
        <v>32</v>
      </c>
      <c r="J866" s="4">
        <v>400</v>
      </c>
      <c r="K866" s="4">
        <v>1.5</v>
      </c>
      <c r="L866" s="4">
        <v>600</v>
      </c>
      <c r="M866" s="4">
        <v>0</v>
      </c>
    </row>
    <row r="867" spans="1:13" x14ac:dyDescent="0.2">
      <c r="A867" s="2" t="s">
        <v>789</v>
      </c>
      <c r="B867" s="2" t="s">
        <v>790</v>
      </c>
      <c r="C867" s="2" t="s">
        <v>4125</v>
      </c>
      <c r="D867" s="2" t="s">
        <v>52</v>
      </c>
      <c r="E867" s="2" t="s">
        <v>4128</v>
      </c>
      <c r="F867" s="5"/>
      <c r="G867" s="4">
        <v>0</v>
      </c>
      <c r="H867" s="4"/>
      <c r="I867" s="2" t="s">
        <v>32</v>
      </c>
      <c r="J867" s="2">
        <v>400</v>
      </c>
      <c r="K867" s="2">
        <v>1.5</v>
      </c>
      <c r="L867" s="2">
        <v>0</v>
      </c>
      <c r="M867" s="2">
        <v>600</v>
      </c>
    </row>
    <row r="868" spans="1:13" x14ac:dyDescent="0.2">
      <c r="A868" s="2" t="s">
        <v>3768</v>
      </c>
      <c r="B868" s="2" t="s">
        <v>3769</v>
      </c>
      <c r="C868" s="2" t="s">
        <v>91</v>
      </c>
      <c r="D868" s="2" t="s">
        <v>52</v>
      </c>
      <c r="E868" s="2" t="s">
        <v>4128</v>
      </c>
      <c r="F868" s="5"/>
      <c r="G868" s="4">
        <v>0</v>
      </c>
      <c r="H868" s="4"/>
      <c r="I868" s="2" t="s">
        <v>32</v>
      </c>
      <c r="J868" s="2">
        <v>400</v>
      </c>
      <c r="K868" s="2">
        <v>1.5</v>
      </c>
      <c r="L868" s="2">
        <v>0</v>
      </c>
      <c r="M868" s="2">
        <v>600</v>
      </c>
    </row>
    <row r="869" spans="1:13" x14ac:dyDescent="0.2">
      <c r="A869" s="2" t="s">
        <v>263</v>
      </c>
      <c r="B869" s="2" t="s">
        <v>264</v>
      </c>
      <c r="C869" s="2" t="s">
        <v>91</v>
      </c>
      <c r="D869" s="2" t="s">
        <v>52</v>
      </c>
      <c r="E869" s="2" t="s">
        <v>4128</v>
      </c>
      <c r="F869" s="5"/>
      <c r="G869" s="4">
        <v>0</v>
      </c>
      <c r="H869" s="4"/>
      <c r="I869" s="2" t="s">
        <v>32</v>
      </c>
      <c r="J869" s="2">
        <v>400</v>
      </c>
      <c r="K869" s="2">
        <v>1.5</v>
      </c>
      <c r="L869" s="2">
        <v>210</v>
      </c>
      <c r="M869" s="2">
        <v>390</v>
      </c>
    </row>
    <row r="870" spans="1:13" x14ac:dyDescent="0.2">
      <c r="A870" s="2" t="s">
        <v>865</v>
      </c>
      <c r="B870" s="2" t="s">
        <v>866</v>
      </c>
      <c r="C870" s="2" t="s">
        <v>1366</v>
      </c>
      <c r="D870" s="2" t="s">
        <v>52</v>
      </c>
      <c r="E870" s="2" t="s">
        <v>4128</v>
      </c>
      <c r="F870" s="5"/>
      <c r="G870" s="4">
        <v>0</v>
      </c>
      <c r="H870" s="4"/>
      <c r="I870" s="2" t="s">
        <v>32</v>
      </c>
      <c r="J870" s="2">
        <v>400</v>
      </c>
      <c r="K870" s="2">
        <v>1.5</v>
      </c>
      <c r="L870" s="2">
        <v>0</v>
      </c>
      <c r="M870" s="2">
        <v>600</v>
      </c>
    </row>
    <row r="871" spans="1:13" x14ac:dyDescent="0.2">
      <c r="A871" s="2" t="s">
        <v>1187</v>
      </c>
      <c r="B871" s="2" t="s">
        <v>1188</v>
      </c>
      <c r="C871" s="2" t="s">
        <v>91</v>
      </c>
      <c r="D871" s="2" t="s">
        <v>52</v>
      </c>
      <c r="E871" s="2" t="s">
        <v>4128</v>
      </c>
      <c r="F871" s="5"/>
      <c r="G871" s="4">
        <v>0</v>
      </c>
      <c r="H871" s="4"/>
      <c r="I871" s="2" t="s">
        <v>32</v>
      </c>
      <c r="J871" s="2">
        <v>400</v>
      </c>
      <c r="K871" s="2">
        <v>1.5</v>
      </c>
      <c r="L871" s="2">
        <v>345</v>
      </c>
      <c r="M871" s="2">
        <v>255</v>
      </c>
    </row>
    <row r="872" spans="1:13" x14ac:dyDescent="0.2">
      <c r="A872" s="2" t="s">
        <v>4072</v>
      </c>
      <c r="B872" s="2" t="s">
        <v>4073</v>
      </c>
      <c r="C872" s="2" t="s">
        <v>66</v>
      </c>
      <c r="D872" s="2" t="s">
        <v>52</v>
      </c>
      <c r="E872" s="2" t="s">
        <v>4128</v>
      </c>
      <c r="F872" s="5"/>
      <c r="G872" s="4">
        <v>0</v>
      </c>
      <c r="H872" s="4"/>
      <c r="I872" s="2" t="s">
        <v>32</v>
      </c>
      <c r="J872" s="2">
        <v>400</v>
      </c>
      <c r="K872" s="2">
        <v>1.5</v>
      </c>
      <c r="L872" s="2">
        <v>345</v>
      </c>
      <c r="M872" s="2">
        <v>255</v>
      </c>
    </row>
    <row r="873" spans="1:13" x14ac:dyDescent="0.2">
      <c r="A873" s="2" t="s">
        <v>331</v>
      </c>
      <c r="B873" s="2" t="s">
        <v>332</v>
      </c>
      <c r="C873" s="2" t="s">
        <v>7</v>
      </c>
      <c r="D873" s="2" t="s">
        <v>52</v>
      </c>
      <c r="E873" s="2" t="s">
        <v>4128</v>
      </c>
      <c r="F873" s="5"/>
      <c r="G873" s="4">
        <v>0</v>
      </c>
      <c r="H873" s="4"/>
      <c r="I873" s="2" t="s">
        <v>32</v>
      </c>
      <c r="J873" s="2">
        <v>400</v>
      </c>
      <c r="K873" s="2">
        <v>1.5</v>
      </c>
      <c r="L873" s="2">
        <v>600</v>
      </c>
      <c r="M873" s="2">
        <v>0</v>
      </c>
    </row>
    <row r="874" spans="1:13" x14ac:dyDescent="0.2">
      <c r="A874" s="2" t="s">
        <v>3770</v>
      </c>
      <c r="B874" s="2" t="s">
        <v>3771</v>
      </c>
      <c r="C874" s="2" t="s">
        <v>4125</v>
      </c>
      <c r="D874" s="2" t="s">
        <v>52</v>
      </c>
      <c r="E874" s="2" t="s">
        <v>4128</v>
      </c>
      <c r="F874" s="5"/>
      <c r="G874" s="4">
        <v>0</v>
      </c>
      <c r="H874" s="4"/>
      <c r="I874" s="2" t="s">
        <v>32</v>
      </c>
      <c r="J874" s="2">
        <v>400</v>
      </c>
      <c r="K874" s="2">
        <v>1.5</v>
      </c>
      <c r="L874" s="2">
        <v>0</v>
      </c>
      <c r="M874" s="2">
        <v>600</v>
      </c>
    </row>
    <row r="875" spans="1:13" x14ac:dyDescent="0.2">
      <c r="A875" s="2" t="s">
        <v>787</v>
      </c>
      <c r="B875" s="2" t="s">
        <v>788</v>
      </c>
      <c r="C875" s="2" t="s">
        <v>19</v>
      </c>
      <c r="D875" s="2" t="s">
        <v>52</v>
      </c>
      <c r="E875" s="2" t="s">
        <v>4128</v>
      </c>
      <c r="F875" s="5"/>
      <c r="G875" s="4">
        <v>0</v>
      </c>
      <c r="H875" s="4"/>
      <c r="I875" s="2" t="s">
        <v>4102</v>
      </c>
      <c r="J875" s="2">
        <v>400</v>
      </c>
      <c r="K875" s="2">
        <v>1.5</v>
      </c>
      <c r="L875" s="2">
        <v>0</v>
      </c>
      <c r="M875" s="2">
        <v>600</v>
      </c>
    </row>
    <row r="876" spans="1:13" x14ac:dyDescent="0.2">
      <c r="A876" s="4" t="s">
        <v>3772</v>
      </c>
      <c r="B876" s="4" t="s">
        <v>3773</v>
      </c>
      <c r="C876" s="4" t="s">
        <v>4124</v>
      </c>
      <c r="D876" s="4" t="s">
        <v>63</v>
      </c>
      <c r="E876" s="4" t="s">
        <v>88</v>
      </c>
      <c r="F876" s="5"/>
      <c r="G876" s="4">
        <v>0</v>
      </c>
      <c r="H876" s="4"/>
      <c r="I876" s="4" t="s">
        <v>27</v>
      </c>
      <c r="J876" s="4">
        <v>540</v>
      </c>
      <c r="K876" s="4">
        <v>1.5</v>
      </c>
      <c r="L876" s="4">
        <v>0</v>
      </c>
      <c r="M876" s="4">
        <v>810</v>
      </c>
    </row>
    <row r="877" spans="1:13" x14ac:dyDescent="0.2">
      <c r="A877" s="2" t="s">
        <v>1345</v>
      </c>
      <c r="B877" s="2" t="s">
        <v>1346</v>
      </c>
      <c r="C877" s="2" t="s">
        <v>94</v>
      </c>
      <c r="D877" s="2" t="s">
        <v>52</v>
      </c>
      <c r="E877" s="2" t="s">
        <v>4128</v>
      </c>
      <c r="F877" s="5"/>
      <c r="G877" s="4">
        <v>0</v>
      </c>
      <c r="H877" s="4"/>
      <c r="I877" s="2" t="s">
        <v>27</v>
      </c>
      <c r="J877" s="2">
        <v>540</v>
      </c>
      <c r="K877" s="2">
        <v>1.5</v>
      </c>
      <c r="L877" s="2">
        <v>810</v>
      </c>
      <c r="M877" s="2">
        <v>0</v>
      </c>
    </row>
    <row r="878" spans="1:13" x14ac:dyDescent="0.2">
      <c r="A878" s="4" t="s">
        <v>3774</v>
      </c>
      <c r="B878" s="4" t="s">
        <v>3775</v>
      </c>
      <c r="C878" s="4" t="s">
        <v>4124</v>
      </c>
      <c r="D878" s="4" t="s">
        <v>63</v>
      </c>
      <c r="E878" s="4" t="s">
        <v>88</v>
      </c>
      <c r="F878" s="5"/>
      <c r="G878" s="4">
        <v>0</v>
      </c>
      <c r="H878" s="4"/>
      <c r="I878" s="4" t="s">
        <v>27</v>
      </c>
      <c r="J878" s="4">
        <v>540</v>
      </c>
      <c r="K878" s="4">
        <v>1.5</v>
      </c>
      <c r="L878" s="4">
        <v>0</v>
      </c>
      <c r="M878" s="4">
        <v>810</v>
      </c>
    </row>
    <row r="879" spans="1:13" x14ac:dyDescent="0.2">
      <c r="A879" s="2" t="s">
        <v>657</v>
      </c>
      <c r="B879" s="2" t="s">
        <v>658</v>
      </c>
      <c r="C879" s="2" t="s">
        <v>1366</v>
      </c>
      <c r="D879" s="2" t="s">
        <v>52</v>
      </c>
      <c r="E879" s="2" t="s">
        <v>4128</v>
      </c>
      <c r="F879" s="5"/>
      <c r="G879" s="4">
        <v>0</v>
      </c>
      <c r="H879" s="4"/>
      <c r="I879" s="2" t="s">
        <v>27</v>
      </c>
      <c r="J879" s="2">
        <v>540</v>
      </c>
      <c r="K879" s="2">
        <v>1.5</v>
      </c>
      <c r="L879" s="2">
        <v>0</v>
      </c>
      <c r="M879" s="2">
        <v>810</v>
      </c>
    </row>
    <row r="880" spans="1:13" x14ac:dyDescent="0.2">
      <c r="A880" s="2" t="s">
        <v>557</v>
      </c>
      <c r="B880" s="2" t="s">
        <v>558</v>
      </c>
      <c r="C880" s="2" t="s">
        <v>7</v>
      </c>
      <c r="D880" s="2" t="s">
        <v>52</v>
      </c>
      <c r="E880" s="2" t="s">
        <v>4128</v>
      </c>
      <c r="F880" s="5"/>
      <c r="G880" s="4">
        <v>0</v>
      </c>
      <c r="H880" s="4"/>
      <c r="I880" s="2" t="s">
        <v>27</v>
      </c>
      <c r="J880" s="2">
        <v>540</v>
      </c>
      <c r="K880" s="2">
        <v>1.5</v>
      </c>
      <c r="L880" s="2">
        <v>810</v>
      </c>
      <c r="M880" s="2">
        <v>0</v>
      </c>
    </row>
    <row r="881" spans="1:13" x14ac:dyDescent="0.2">
      <c r="A881" s="2" t="s">
        <v>513</v>
      </c>
      <c r="B881" s="2" t="s">
        <v>514</v>
      </c>
      <c r="C881" s="2" t="s">
        <v>54</v>
      </c>
      <c r="D881" s="2" t="s">
        <v>52</v>
      </c>
      <c r="E881" s="2" t="s">
        <v>4128</v>
      </c>
      <c r="F881" s="5"/>
      <c r="G881" s="4">
        <v>0</v>
      </c>
      <c r="H881" s="4"/>
      <c r="I881" s="2" t="s">
        <v>27</v>
      </c>
      <c r="J881" s="2">
        <v>540</v>
      </c>
      <c r="K881" s="2">
        <v>1.5</v>
      </c>
      <c r="L881" s="2">
        <v>810</v>
      </c>
      <c r="M881" s="2">
        <v>0</v>
      </c>
    </row>
    <row r="882" spans="1:13" x14ac:dyDescent="0.2">
      <c r="A882" s="4" t="s">
        <v>1253</v>
      </c>
      <c r="B882" s="4" t="s">
        <v>1254</v>
      </c>
      <c r="C882" s="4" t="s">
        <v>4124</v>
      </c>
      <c r="D882" s="4" t="s">
        <v>52</v>
      </c>
      <c r="E882" s="4" t="s">
        <v>88</v>
      </c>
      <c r="F882" s="5"/>
      <c r="G882" s="4">
        <v>0</v>
      </c>
      <c r="H882" s="4"/>
      <c r="I882" s="4" t="s">
        <v>27</v>
      </c>
      <c r="J882" s="4">
        <v>540</v>
      </c>
      <c r="K882" s="4">
        <v>1.5</v>
      </c>
      <c r="L882" s="4">
        <v>345</v>
      </c>
      <c r="M882" s="4">
        <v>465</v>
      </c>
    </row>
    <row r="883" spans="1:13" x14ac:dyDescent="0.2">
      <c r="A883" s="4" t="s">
        <v>3776</v>
      </c>
      <c r="B883" s="4" t="s">
        <v>3777</v>
      </c>
      <c r="C883" s="4" t="s">
        <v>4124</v>
      </c>
      <c r="D883" s="4" t="s">
        <v>63</v>
      </c>
      <c r="E883" s="4" t="s">
        <v>88</v>
      </c>
      <c r="F883" s="5"/>
      <c r="G883" s="4">
        <v>0</v>
      </c>
      <c r="H883" s="4"/>
      <c r="I883" s="4" t="s">
        <v>27</v>
      </c>
      <c r="J883" s="4">
        <v>540</v>
      </c>
      <c r="K883" s="4">
        <v>1.5</v>
      </c>
      <c r="L883" s="4">
        <v>0</v>
      </c>
      <c r="M883" s="4">
        <v>810</v>
      </c>
    </row>
    <row r="884" spans="1:13" x14ac:dyDescent="0.2">
      <c r="A884" s="2" t="s">
        <v>4074</v>
      </c>
      <c r="B884" s="2" t="s">
        <v>4075</v>
      </c>
      <c r="C884" s="2" t="s">
        <v>19</v>
      </c>
      <c r="D884" s="2" t="s">
        <v>52</v>
      </c>
      <c r="E884" s="2" t="s">
        <v>4128</v>
      </c>
      <c r="F884" s="5"/>
      <c r="G884" s="4">
        <v>0</v>
      </c>
      <c r="H884" s="4"/>
      <c r="I884" s="2" t="s">
        <v>27</v>
      </c>
      <c r="J884" s="2">
        <v>540</v>
      </c>
      <c r="K884" s="2">
        <v>1.5</v>
      </c>
      <c r="L884" s="2">
        <v>0</v>
      </c>
      <c r="M884" s="2">
        <v>810</v>
      </c>
    </row>
    <row r="885" spans="1:13" x14ac:dyDescent="0.2">
      <c r="A885" s="2" t="s">
        <v>1043</v>
      </c>
      <c r="B885" s="2" t="s">
        <v>1044</v>
      </c>
      <c r="C885" s="2" t="s">
        <v>1366</v>
      </c>
      <c r="D885" s="2" t="s">
        <v>52</v>
      </c>
      <c r="E885" s="2" t="s">
        <v>4128</v>
      </c>
      <c r="F885" s="5"/>
      <c r="G885" s="4">
        <v>0</v>
      </c>
      <c r="H885" s="4"/>
      <c r="I885" s="2" t="s">
        <v>27</v>
      </c>
      <c r="J885" s="2">
        <v>540</v>
      </c>
      <c r="K885" s="2">
        <v>1.5</v>
      </c>
      <c r="L885" s="2">
        <v>210</v>
      </c>
      <c r="M885" s="2">
        <v>600</v>
      </c>
    </row>
    <row r="886" spans="1:13" x14ac:dyDescent="0.2">
      <c r="A886" s="2" t="s">
        <v>1323</v>
      </c>
      <c r="B886" s="2" t="s">
        <v>1324</v>
      </c>
      <c r="C886" s="2" t="s">
        <v>19</v>
      </c>
      <c r="D886" s="2" t="s">
        <v>52</v>
      </c>
      <c r="E886" s="2" t="s">
        <v>4128</v>
      </c>
      <c r="F886" s="5"/>
      <c r="G886" s="4">
        <v>0</v>
      </c>
      <c r="H886" s="4"/>
      <c r="I886" s="2" t="s">
        <v>27</v>
      </c>
      <c r="J886" s="2">
        <v>540</v>
      </c>
      <c r="K886" s="2">
        <v>1.5</v>
      </c>
      <c r="L886" s="2">
        <v>810</v>
      </c>
      <c r="M886" s="2">
        <v>0</v>
      </c>
    </row>
    <row r="887" spans="1:13" x14ac:dyDescent="0.2">
      <c r="A887" s="2" t="s">
        <v>1353</v>
      </c>
      <c r="B887" s="2" t="s">
        <v>1354</v>
      </c>
      <c r="C887" s="2" t="s">
        <v>7</v>
      </c>
      <c r="D887" s="2" t="s">
        <v>52</v>
      </c>
      <c r="E887" s="2" t="s">
        <v>4128</v>
      </c>
      <c r="F887" s="5">
        <v>45915</v>
      </c>
      <c r="G887" s="4">
        <v>26680</v>
      </c>
      <c r="H887" s="4"/>
      <c r="I887" s="2" t="s">
        <v>27</v>
      </c>
      <c r="J887" s="2">
        <v>540</v>
      </c>
      <c r="K887" s="2">
        <v>1.5</v>
      </c>
      <c r="L887" s="2">
        <v>810</v>
      </c>
      <c r="M887" s="2">
        <v>0</v>
      </c>
    </row>
    <row r="888" spans="1:13" x14ac:dyDescent="0.2">
      <c r="A888" s="2" t="s">
        <v>559</v>
      </c>
      <c r="B888" s="2" t="s">
        <v>560</v>
      </c>
      <c r="C888" s="2" t="s">
        <v>94</v>
      </c>
      <c r="D888" s="2" t="s">
        <v>52</v>
      </c>
      <c r="E888" s="2" t="s">
        <v>4128</v>
      </c>
      <c r="F888" s="5"/>
      <c r="G888" s="4">
        <v>0</v>
      </c>
      <c r="H888" s="4"/>
      <c r="I888" s="2" t="s">
        <v>27</v>
      </c>
      <c r="J888" s="2">
        <v>540</v>
      </c>
      <c r="K888" s="2">
        <v>1.5</v>
      </c>
      <c r="L888" s="2">
        <v>810</v>
      </c>
      <c r="M888" s="2">
        <v>0</v>
      </c>
    </row>
    <row r="889" spans="1:13" x14ac:dyDescent="0.2">
      <c r="A889" s="2" t="s">
        <v>277</v>
      </c>
      <c r="B889" s="2" t="s">
        <v>278</v>
      </c>
      <c r="C889" s="2" t="s">
        <v>19</v>
      </c>
      <c r="D889" s="2" t="s">
        <v>52</v>
      </c>
      <c r="E889" s="2" t="s">
        <v>4128</v>
      </c>
      <c r="F889" s="5"/>
      <c r="G889" s="4">
        <v>0</v>
      </c>
      <c r="H889" s="4"/>
      <c r="I889" s="2" t="s">
        <v>27</v>
      </c>
      <c r="J889" s="2">
        <v>540</v>
      </c>
      <c r="K889" s="2">
        <v>1.5</v>
      </c>
      <c r="L889" s="2">
        <v>345</v>
      </c>
      <c r="M889" s="2">
        <v>465</v>
      </c>
    </row>
    <row r="890" spans="1:13" x14ac:dyDescent="0.2">
      <c r="A890" s="2" t="s">
        <v>3778</v>
      </c>
      <c r="B890" s="2" t="s">
        <v>3779</v>
      </c>
      <c r="C890" s="2" t="s">
        <v>66</v>
      </c>
      <c r="D890" s="2" t="s">
        <v>52</v>
      </c>
      <c r="E890" s="2" t="s">
        <v>4128</v>
      </c>
      <c r="F890" s="5"/>
      <c r="G890" s="4">
        <v>0</v>
      </c>
      <c r="H890" s="4"/>
      <c r="I890" s="2" t="s">
        <v>27</v>
      </c>
      <c r="J890" s="2">
        <v>540</v>
      </c>
      <c r="K890" s="2">
        <v>1.5</v>
      </c>
      <c r="L890" s="2">
        <v>0</v>
      </c>
      <c r="M890" s="2">
        <v>810</v>
      </c>
    </row>
    <row r="891" spans="1:13" x14ac:dyDescent="0.2">
      <c r="A891" s="4" t="s">
        <v>3780</v>
      </c>
      <c r="B891" s="4" t="s">
        <v>3781</v>
      </c>
      <c r="C891" s="4" t="s">
        <v>4125</v>
      </c>
      <c r="D891" s="4" t="s">
        <v>88</v>
      </c>
      <c r="E891" s="4" t="s">
        <v>88</v>
      </c>
      <c r="F891" s="5"/>
      <c r="G891" s="4">
        <v>0</v>
      </c>
      <c r="H891" s="4"/>
      <c r="I891" s="4" t="s">
        <v>27</v>
      </c>
      <c r="J891" s="4">
        <v>540</v>
      </c>
      <c r="K891" s="4">
        <v>1.5</v>
      </c>
      <c r="L891" s="4">
        <v>0</v>
      </c>
      <c r="M891" s="4">
        <v>810</v>
      </c>
    </row>
    <row r="892" spans="1:13" x14ac:dyDescent="0.2">
      <c r="A892" s="2" t="s">
        <v>1327</v>
      </c>
      <c r="B892" s="2" t="s">
        <v>1328</v>
      </c>
      <c r="C892" s="2" t="s">
        <v>19</v>
      </c>
      <c r="D892" s="2" t="s">
        <v>52</v>
      </c>
      <c r="E892" s="2" t="s">
        <v>4128</v>
      </c>
      <c r="F892" s="5">
        <v>45931</v>
      </c>
      <c r="G892" s="4">
        <v>0</v>
      </c>
      <c r="H892" s="4"/>
      <c r="I892" s="2" t="s">
        <v>27</v>
      </c>
      <c r="J892" s="2">
        <v>540</v>
      </c>
      <c r="K892" s="2">
        <v>1.5</v>
      </c>
      <c r="L892" s="2">
        <v>810</v>
      </c>
      <c r="M892" s="2">
        <v>0</v>
      </c>
    </row>
    <row r="893" spans="1:13" x14ac:dyDescent="0.2">
      <c r="A893" s="2" t="s">
        <v>517</v>
      </c>
      <c r="B893" s="2" t="s">
        <v>518</v>
      </c>
      <c r="C893" s="2" t="s">
        <v>7</v>
      </c>
      <c r="D893" s="2" t="s">
        <v>52</v>
      </c>
      <c r="E893" s="2" t="s">
        <v>4128</v>
      </c>
      <c r="F893" s="5"/>
      <c r="G893" s="4">
        <v>0</v>
      </c>
      <c r="H893" s="4"/>
      <c r="I893" s="2" t="s">
        <v>4103</v>
      </c>
      <c r="J893" s="2">
        <v>540</v>
      </c>
      <c r="K893" s="2">
        <v>1.5</v>
      </c>
      <c r="L893" s="2">
        <v>810</v>
      </c>
      <c r="M893" s="2">
        <v>0</v>
      </c>
    </row>
    <row r="894" spans="1:13" x14ac:dyDescent="0.2">
      <c r="A894" s="2" t="s">
        <v>1245</v>
      </c>
      <c r="B894" s="2" t="s">
        <v>1246</v>
      </c>
      <c r="C894" s="2" t="s">
        <v>7</v>
      </c>
      <c r="D894" s="2" t="s">
        <v>52</v>
      </c>
      <c r="E894" s="2" t="s">
        <v>4128</v>
      </c>
      <c r="F894" s="5"/>
      <c r="G894" s="4">
        <v>0</v>
      </c>
      <c r="H894" s="4"/>
      <c r="I894" s="2" t="s">
        <v>1376</v>
      </c>
      <c r="J894" s="2">
        <v>400</v>
      </c>
      <c r="K894" s="2">
        <v>1.5</v>
      </c>
      <c r="L894" s="2">
        <v>345</v>
      </c>
      <c r="M894" s="2">
        <v>255</v>
      </c>
    </row>
    <row r="895" spans="1:13" x14ac:dyDescent="0.2">
      <c r="A895" s="2" t="s">
        <v>1299</v>
      </c>
      <c r="B895" s="2" t="s">
        <v>1300</v>
      </c>
      <c r="C895" s="2" t="s">
        <v>592</v>
      </c>
      <c r="D895" s="2" t="s">
        <v>52</v>
      </c>
      <c r="E895" s="2" t="s">
        <v>4128</v>
      </c>
      <c r="F895" s="5"/>
      <c r="G895" s="4">
        <v>0</v>
      </c>
      <c r="H895" s="4"/>
      <c r="I895" s="2" t="s">
        <v>4104</v>
      </c>
      <c r="J895" s="2">
        <v>400</v>
      </c>
      <c r="K895" s="2">
        <v>1.5</v>
      </c>
      <c r="L895" s="2">
        <v>600</v>
      </c>
      <c r="M895" s="2">
        <v>0</v>
      </c>
    </row>
    <row r="896" spans="1:13" x14ac:dyDescent="0.2">
      <c r="A896" s="2" t="s">
        <v>541</v>
      </c>
      <c r="B896" s="2" t="s">
        <v>542</v>
      </c>
      <c r="C896" s="2" t="s">
        <v>7</v>
      </c>
      <c r="D896" s="2" t="s">
        <v>52</v>
      </c>
      <c r="E896" s="2" t="s">
        <v>4128</v>
      </c>
      <c r="F896" s="5"/>
      <c r="G896" s="4">
        <v>0</v>
      </c>
      <c r="H896" s="4"/>
      <c r="I896" s="2" t="s">
        <v>4105</v>
      </c>
      <c r="J896" s="2">
        <v>400</v>
      </c>
      <c r="K896" s="2">
        <v>1.5</v>
      </c>
      <c r="L896" s="2">
        <v>345</v>
      </c>
      <c r="M896" s="2">
        <v>255</v>
      </c>
    </row>
    <row r="897" spans="1:13" x14ac:dyDescent="0.2">
      <c r="A897" s="2" t="s">
        <v>1085</v>
      </c>
      <c r="B897" s="2" t="s">
        <v>1086</v>
      </c>
      <c r="C897" s="2" t="s">
        <v>91</v>
      </c>
      <c r="D897" s="2" t="s">
        <v>52</v>
      </c>
      <c r="E897" s="2" t="s">
        <v>4128</v>
      </c>
      <c r="F897" s="5"/>
      <c r="G897" s="4">
        <v>0</v>
      </c>
      <c r="H897" s="4"/>
      <c r="I897" s="2" t="s">
        <v>4106</v>
      </c>
      <c r="J897" s="2">
        <v>400</v>
      </c>
      <c r="K897" s="2">
        <v>1.5</v>
      </c>
      <c r="L897" s="2">
        <v>210</v>
      </c>
      <c r="M897" s="2">
        <v>390</v>
      </c>
    </row>
    <row r="898" spans="1:13" x14ac:dyDescent="0.2">
      <c r="A898" s="2" t="s">
        <v>257</v>
      </c>
      <c r="B898" s="2" t="s">
        <v>258</v>
      </c>
      <c r="C898" s="2" t="s">
        <v>7</v>
      </c>
      <c r="D898" s="2" t="s">
        <v>52</v>
      </c>
      <c r="E898" s="2" t="s">
        <v>4128</v>
      </c>
      <c r="F898" s="5"/>
      <c r="G898" s="4">
        <v>0</v>
      </c>
      <c r="H898" s="4"/>
      <c r="I898" s="2" t="s">
        <v>4106</v>
      </c>
      <c r="J898" s="2">
        <v>400</v>
      </c>
      <c r="K898" s="2">
        <v>1.5</v>
      </c>
      <c r="L898" s="2">
        <v>210</v>
      </c>
      <c r="M898" s="2">
        <v>390</v>
      </c>
    </row>
    <row r="899" spans="1:13" x14ac:dyDescent="0.2">
      <c r="A899" s="2" t="s">
        <v>393</v>
      </c>
      <c r="B899" s="2" t="s">
        <v>394</v>
      </c>
      <c r="C899" s="2" t="s">
        <v>94</v>
      </c>
      <c r="D899" s="2" t="s">
        <v>52</v>
      </c>
      <c r="E899" s="2" t="s">
        <v>4128</v>
      </c>
      <c r="F899" s="5"/>
      <c r="G899" s="4">
        <v>0</v>
      </c>
      <c r="H899" s="4"/>
      <c r="I899" s="2" t="s">
        <v>600</v>
      </c>
      <c r="J899" s="2">
        <v>540</v>
      </c>
      <c r="K899" s="2">
        <v>1.5</v>
      </c>
      <c r="L899" s="2">
        <v>600</v>
      </c>
      <c r="M899" s="2">
        <v>210</v>
      </c>
    </row>
    <row r="900" spans="1:13" x14ac:dyDescent="0.2">
      <c r="A900" s="2" t="s">
        <v>3782</v>
      </c>
      <c r="B900" s="2" t="s">
        <v>3783</v>
      </c>
      <c r="C900" s="2" t="s">
        <v>66</v>
      </c>
      <c r="D900" s="2" t="s">
        <v>52</v>
      </c>
      <c r="E900" s="2" t="s">
        <v>4128</v>
      </c>
      <c r="F900" s="5"/>
      <c r="G900" s="4">
        <v>0</v>
      </c>
      <c r="H900" s="4"/>
      <c r="I900" s="2" t="s">
        <v>4107</v>
      </c>
      <c r="J900" s="2">
        <v>540</v>
      </c>
      <c r="K900" s="2">
        <v>1.5</v>
      </c>
      <c r="L900" s="2">
        <v>0</v>
      </c>
      <c r="M900" s="2">
        <v>810</v>
      </c>
    </row>
    <row r="901" spans="1:13" x14ac:dyDescent="0.2">
      <c r="A901" s="2" t="s">
        <v>829</v>
      </c>
      <c r="B901" s="2" t="s">
        <v>830</v>
      </c>
      <c r="C901" s="2" t="s">
        <v>4125</v>
      </c>
      <c r="D901" s="2" t="s">
        <v>52</v>
      </c>
      <c r="E901" s="2" t="s">
        <v>4128</v>
      </c>
      <c r="F901" s="5"/>
      <c r="G901" s="4">
        <v>0</v>
      </c>
      <c r="H901" s="4"/>
      <c r="I901" s="2" t="s">
        <v>4108</v>
      </c>
      <c r="J901" s="2">
        <v>400</v>
      </c>
      <c r="K901" s="2">
        <v>1.5</v>
      </c>
      <c r="L901" s="2">
        <v>0</v>
      </c>
      <c r="M901" s="2">
        <v>600</v>
      </c>
    </row>
    <row r="902" spans="1:13" x14ac:dyDescent="0.2">
      <c r="A902" s="4" t="s">
        <v>565</v>
      </c>
      <c r="B902" s="4" t="s">
        <v>566</v>
      </c>
      <c r="C902" s="4" t="s">
        <v>4124</v>
      </c>
      <c r="D902" s="4" t="s">
        <v>52</v>
      </c>
      <c r="E902" s="4" t="s">
        <v>88</v>
      </c>
      <c r="F902" s="5"/>
      <c r="G902" s="4">
        <v>0</v>
      </c>
      <c r="H902" s="4"/>
      <c r="I902" s="4" t="s">
        <v>4109</v>
      </c>
      <c r="J902" s="4">
        <v>400</v>
      </c>
      <c r="K902" s="4">
        <v>1.5</v>
      </c>
      <c r="L902" s="4">
        <v>345</v>
      </c>
      <c r="M902" s="4">
        <v>255</v>
      </c>
    </row>
    <row r="903" spans="1:13" x14ac:dyDescent="0.2">
      <c r="A903" s="2" t="s">
        <v>113</v>
      </c>
      <c r="B903" s="2" t="s">
        <v>114</v>
      </c>
      <c r="C903" s="2" t="s">
        <v>94</v>
      </c>
      <c r="D903" s="2" t="s">
        <v>52</v>
      </c>
      <c r="E903" s="2" t="s">
        <v>4128</v>
      </c>
      <c r="F903" s="5"/>
      <c r="G903" s="4">
        <v>0</v>
      </c>
      <c r="H903" s="4"/>
      <c r="I903" s="2" t="s">
        <v>4110</v>
      </c>
      <c r="J903" s="2">
        <v>540</v>
      </c>
      <c r="K903" s="2">
        <v>1.5</v>
      </c>
      <c r="L903" s="2">
        <v>810</v>
      </c>
      <c r="M903" s="2">
        <v>0</v>
      </c>
    </row>
    <row r="904" spans="1:13" x14ac:dyDescent="0.2">
      <c r="A904" s="2" t="s">
        <v>1291</v>
      </c>
      <c r="B904" s="2" t="s">
        <v>1292</v>
      </c>
      <c r="C904" s="2" t="s">
        <v>54</v>
      </c>
      <c r="D904" s="2" t="s">
        <v>52</v>
      </c>
      <c r="E904" s="2" t="s">
        <v>4128</v>
      </c>
      <c r="F904" s="5"/>
      <c r="G904" s="4">
        <v>0</v>
      </c>
      <c r="H904" s="4"/>
      <c r="I904" s="2" t="s">
        <v>4111</v>
      </c>
      <c r="J904" s="2">
        <v>540</v>
      </c>
      <c r="K904" s="2">
        <v>1.5</v>
      </c>
      <c r="L904" s="2">
        <v>810</v>
      </c>
      <c r="M904" s="2">
        <v>0</v>
      </c>
    </row>
    <row r="905" spans="1:13" x14ac:dyDescent="0.2">
      <c r="A905" s="2" t="s">
        <v>1275</v>
      </c>
      <c r="B905" s="2" t="s">
        <v>1276</v>
      </c>
      <c r="C905" s="2" t="s">
        <v>4126</v>
      </c>
      <c r="D905" s="2" t="s">
        <v>52</v>
      </c>
      <c r="E905" s="2" t="s">
        <v>4128</v>
      </c>
      <c r="F905" s="5"/>
      <c r="G905" s="4">
        <v>0</v>
      </c>
      <c r="H905" s="4"/>
      <c r="I905" s="2" t="s">
        <v>4112</v>
      </c>
      <c r="J905" s="2">
        <v>540</v>
      </c>
      <c r="K905" s="2">
        <v>1.5</v>
      </c>
      <c r="L905" s="2">
        <v>600</v>
      </c>
      <c r="M905" s="2">
        <v>210</v>
      </c>
    </row>
    <row r="906" spans="1:13" x14ac:dyDescent="0.2">
      <c r="A906" s="2" t="s">
        <v>155</v>
      </c>
      <c r="B906" s="2" t="s">
        <v>156</v>
      </c>
      <c r="C906" s="2" t="s">
        <v>94</v>
      </c>
      <c r="D906" s="2" t="s">
        <v>52</v>
      </c>
      <c r="E906" s="2" t="s">
        <v>4128</v>
      </c>
      <c r="F906" s="5"/>
      <c r="G906" s="4">
        <v>0</v>
      </c>
      <c r="H906" s="4"/>
      <c r="I906" s="2" t="s">
        <v>4113</v>
      </c>
      <c r="J906" s="2">
        <v>540</v>
      </c>
      <c r="K906" s="2">
        <v>1.5</v>
      </c>
      <c r="L906" s="2">
        <v>600</v>
      </c>
      <c r="M906" s="2">
        <v>210</v>
      </c>
    </row>
    <row r="907" spans="1:13" x14ac:dyDescent="0.2">
      <c r="A907" s="2" t="s">
        <v>1019</v>
      </c>
      <c r="B907" s="2" t="s">
        <v>1020</v>
      </c>
      <c r="C907" s="2" t="s">
        <v>4125</v>
      </c>
      <c r="D907" s="2" t="s">
        <v>52</v>
      </c>
      <c r="E907" s="2" t="s">
        <v>4128</v>
      </c>
      <c r="F907" s="5"/>
      <c r="G907" s="4">
        <v>0</v>
      </c>
      <c r="H907" s="4"/>
      <c r="I907" s="2" t="s">
        <v>38</v>
      </c>
      <c r="J907" s="2">
        <v>540</v>
      </c>
      <c r="K907" s="2">
        <v>1.5</v>
      </c>
      <c r="L907" s="2">
        <v>210</v>
      </c>
      <c r="M907" s="2">
        <v>600</v>
      </c>
    </row>
    <row r="908" spans="1:13" x14ac:dyDescent="0.2">
      <c r="A908" s="2" t="s">
        <v>4076</v>
      </c>
      <c r="B908" s="2" t="s">
        <v>4077</v>
      </c>
      <c r="C908" s="2" t="s">
        <v>592</v>
      </c>
      <c r="D908" s="2" t="s">
        <v>52</v>
      </c>
      <c r="E908" s="2" t="s">
        <v>4128</v>
      </c>
      <c r="F908" s="5">
        <v>45945</v>
      </c>
      <c r="G908" s="4">
        <v>50000</v>
      </c>
      <c r="H908" s="4" t="s">
        <v>4134</v>
      </c>
      <c r="I908" s="2" t="s">
        <v>38</v>
      </c>
      <c r="J908" s="2">
        <v>540</v>
      </c>
      <c r="K908" s="2">
        <v>1.5</v>
      </c>
      <c r="L908" s="2">
        <v>0</v>
      </c>
      <c r="M908" s="2">
        <v>810</v>
      </c>
    </row>
    <row r="909" spans="1:13" x14ac:dyDescent="0.2">
      <c r="A909" s="2" t="s">
        <v>1313</v>
      </c>
      <c r="B909" s="2" t="s">
        <v>1314</v>
      </c>
      <c r="C909" s="2" t="s">
        <v>94</v>
      </c>
      <c r="D909" s="2" t="s">
        <v>52</v>
      </c>
      <c r="E909" s="2" t="s">
        <v>4128</v>
      </c>
      <c r="F909" s="5"/>
      <c r="G909" s="4">
        <v>0</v>
      </c>
      <c r="H909" s="4"/>
      <c r="I909" s="2" t="s">
        <v>38</v>
      </c>
      <c r="J909" s="2">
        <v>540</v>
      </c>
      <c r="K909" s="2">
        <v>1.5</v>
      </c>
      <c r="L909" s="2">
        <v>600</v>
      </c>
      <c r="M909" s="2">
        <v>210</v>
      </c>
    </row>
    <row r="910" spans="1:13" x14ac:dyDescent="0.2">
      <c r="A910" s="2" t="s">
        <v>1331</v>
      </c>
      <c r="B910" s="2" t="s">
        <v>1332</v>
      </c>
      <c r="C910" s="2" t="s">
        <v>19</v>
      </c>
      <c r="D910" s="2" t="s">
        <v>52</v>
      </c>
      <c r="E910" s="2" t="s">
        <v>4128</v>
      </c>
      <c r="F910" s="5"/>
      <c r="G910" s="4">
        <v>0</v>
      </c>
      <c r="H910" s="4"/>
      <c r="I910" s="2" t="s">
        <v>38</v>
      </c>
      <c r="J910" s="2">
        <v>540</v>
      </c>
      <c r="K910" s="2">
        <v>1.5</v>
      </c>
      <c r="L910" s="2">
        <v>810</v>
      </c>
      <c r="M910" s="2">
        <v>0</v>
      </c>
    </row>
    <row r="911" spans="1:13" x14ac:dyDescent="0.2">
      <c r="A911" s="4" t="s">
        <v>413</v>
      </c>
      <c r="B911" s="4" t="s">
        <v>414</v>
      </c>
      <c r="C911" s="4" t="s">
        <v>4124</v>
      </c>
      <c r="D911" s="4" t="s">
        <v>52</v>
      </c>
      <c r="E911" s="4" t="s">
        <v>88</v>
      </c>
      <c r="F911" s="5"/>
      <c r="G911" s="4">
        <v>0</v>
      </c>
      <c r="H911" s="4"/>
      <c r="I911" s="4" t="s">
        <v>38</v>
      </c>
      <c r="J911" s="4">
        <v>540</v>
      </c>
      <c r="K911" s="4">
        <v>1.5</v>
      </c>
      <c r="L911" s="4">
        <v>810</v>
      </c>
      <c r="M911" s="4">
        <v>0</v>
      </c>
    </row>
    <row r="912" spans="1:13" x14ac:dyDescent="0.2">
      <c r="A912" s="2" t="s">
        <v>535</v>
      </c>
      <c r="B912" s="2" t="s">
        <v>536</v>
      </c>
      <c r="C912" s="2" t="s">
        <v>7</v>
      </c>
      <c r="D912" s="2" t="s">
        <v>52</v>
      </c>
      <c r="E912" s="2" t="s">
        <v>4128</v>
      </c>
      <c r="F912" s="5">
        <v>45916</v>
      </c>
      <c r="G912" s="4">
        <v>0</v>
      </c>
      <c r="H912" s="4"/>
      <c r="I912" s="2" t="s">
        <v>38</v>
      </c>
      <c r="J912" s="2">
        <v>540</v>
      </c>
      <c r="K912" s="2">
        <v>1.5</v>
      </c>
      <c r="L912" s="2">
        <v>810</v>
      </c>
      <c r="M912" s="2">
        <v>0</v>
      </c>
    </row>
    <row r="913" spans="1:13" x14ac:dyDescent="0.2">
      <c r="A913" s="2" t="s">
        <v>3784</v>
      </c>
      <c r="B913" s="2" t="s">
        <v>3785</v>
      </c>
      <c r="C913" s="2" t="s">
        <v>4126</v>
      </c>
      <c r="D913" s="2" t="s">
        <v>52</v>
      </c>
      <c r="E913" s="2" t="s">
        <v>4128</v>
      </c>
      <c r="F913" s="5"/>
      <c r="G913" s="4">
        <v>0</v>
      </c>
      <c r="H913" s="4"/>
      <c r="I913" s="2" t="s">
        <v>38</v>
      </c>
      <c r="J913" s="2">
        <v>540</v>
      </c>
      <c r="K913" s="2">
        <v>1.5</v>
      </c>
      <c r="L913" s="2">
        <v>0</v>
      </c>
      <c r="M913" s="2">
        <v>810</v>
      </c>
    </row>
    <row r="914" spans="1:13" x14ac:dyDescent="0.2">
      <c r="A914" s="2" t="s">
        <v>3786</v>
      </c>
      <c r="B914" s="2" t="s">
        <v>3787</v>
      </c>
      <c r="C914" s="2" t="s">
        <v>1366</v>
      </c>
      <c r="D914" s="2" t="s">
        <v>52</v>
      </c>
      <c r="E914" s="2" t="s">
        <v>4128</v>
      </c>
      <c r="F914" s="5"/>
      <c r="G914" s="4">
        <v>0</v>
      </c>
      <c r="H914" s="4"/>
      <c r="I914" s="2" t="s">
        <v>38</v>
      </c>
      <c r="J914" s="2">
        <v>540</v>
      </c>
      <c r="K914" s="2">
        <v>1.5</v>
      </c>
      <c r="L914" s="2">
        <v>0</v>
      </c>
      <c r="M914" s="2">
        <v>810</v>
      </c>
    </row>
    <row r="915" spans="1:13" x14ac:dyDescent="0.2">
      <c r="A915" s="2" t="s">
        <v>987</v>
      </c>
      <c r="B915" s="2" t="s">
        <v>988</v>
      </c>
      <c r="C915" s="2" t="s">
        <v>4125</v>
      </c>
      <c r="D915" s="2" t="s">
        <v>52</v>
      </c>
      <c r="E915" s="2" t="s">
        <v>4128</v>
      </c>
      <c r="F915" s="5"/>
      <c r="G915" s="4">
        <v>0</v>
      </c>
      <c r="H915" s="4"/>
      <c r="I915" s="2" t="s">
        <v>38</v>
      </c>
      <c r="J915" s="2">
        <v>540</v>
      </c>
      <c r="K915" s="2">
        <v>1.5</v>
      </c>
      <c r="L915" s="2">
        <v>0</v>
      </c>
      <c r="M915" s="2">
        <v>810</v>
      </c>
    </row>
    <row r="916" spans="1:13" x14ac:dyDescent="0.2">
      <c r="A916" s="2" t="s">
        <v>531</v>
      </c>
      <c r="B916" s="2" t="s">
        <v>532</v>
      </c>
      <c r="C916" s="2" t="s">
        <v>94</v>
      </c>
      <c r="D916" s="2" t="s">
        <v>52</v>
      </c>
      <c r="E916" s="2" t="s">
        <v>4128</v>
      </c>
      <c r="F916" s="5"/>
      <c r="G916" s="4">
        <v>0</v>
      </c>
      <c r="H916" s="4"/>
      <c r="I916" s="2" t="s">
        <v>38</v>
      </c>
      <c r="J916" s="2">
        <v>540</v>
      </c>
      <c r="K916" s="2">
        <v>1.5</v>
      </c>
      <c r="L916" s="2">
        <v>600</v>
      </c>
      <c r="M916" s="2">
        <v>210</v>
      </c>
    </row>
    <row r="917" spans="1:13" x14ac:dyDescent="0.2">
      <c r="A917" s="2" t="s">
        <v>1231</v>
      </c>
      <c r="B917" s="2" t="s">
        <v>1232</v>
      </c>
      <c r="C917" s="2" t="s">
        <v>7</v>
      </c>
      <c r="D917" s="2" t="s">
        <v>52</v>
      </c>
      <c r="E917" s="2" t="s">
        <v>4128</v>
      </c>
      <c r="F917" s="5"/>
      <c r="G917" s="4">
        <v>0</v>
      </c>
      <c r="H917" s="4"/>
      <c r="I917" s="2" t="s">
        <v>1377</v>
      </c>
      <c r="J917" s="2">
        <v>540</v>
      </c>
      <c r="K917" s="2">
        <v>1.5</v>
      </c>
      <c r="L917" s="2">
        <v>345</v>
      </c>
      <c r="M917" s="2">
        <v>465</v>
      </c>
    </row>
    <row r="918" spans="1:13" x14ac:dyDescent="0.2">
      <c r="A918" s="2" t="s">
        <v>3788</v>
      </c>
      <c r="B918" s="2" t="s">
        <v>3789</v>
      </c>
      <c r="C918" s="2" t="s">
        <v>19</v>
      </c>
      <c r="D918" s="2" t="s">
        <v>52</v>
      </c>
      <c r="E918" s="2" t="s">
        <v>4128</v>
      </c>
      <c r="F918" s="5"/>
      <c r="G918" s="4">
        <v>0</v>
      </c>
      <c r="H918" s="4"/>
      <c r="I918" s="2" t="s">
        <v>4114</v>
      </c>
      <c r="J918" s="2">
        <v>540</v>
      </c>
      <c r="K918" s="2">
        <v>1.5</v>
      </c>
      <c r="L918" s="2">
        <v>0</v>
      </c>
      <c r="M918" s="2">
        <v>810</v>
      </c>
    </row>
    <row r="919" spans="1:13" x14ac:dyDescent="0.2">
      <c r="A919" s="2" t="s">
        <v>1025</v>
      </c>
      <c r="B919" s="2" t="s">
        <v>1026</v>
      </c>
      <c r="C919" s="2" t="s">
        <v>1366</v>
      </c>
      <c r="D919" s="2" t="s">
        <v>52</v>
      </c>
      <c r="E919" s="2" t="s">
        <v>4128</v>
      </c>
      <c r="F919" s="5"/>
      <c r="G919" s="4">
        <v>0</v>
      </c>
      <c r="H919" s="4"/>
      <c r="I919" s="2" t="s">
        <v>36</v>
      </c>
      <c r="J919" s="2">
        <v>540</v>
      </c>
      <c r="K919" s="2">
        <v>1.5</v>
      </c>
      <c r="L919" s="2">
        <v>210</v>
      </c>
      <c r="M919" s="2">
        <v>600</v>
      </c>
    </row>
    <row r="920" spans="1:13" x14ac:dyDescent="0.2">
      <c r="A920" s="2" t="s">
        <v>3790</v>
      </c>
      <c r="B920" s="2" t="s">
        <v>3791</v>
      </c>
      <c r="C920" s="2" t="s">
        <v>66</v>
      </c>
      <c r="D920" s="2" t="s">
        <v>52</v>
      </c>
      <c r="E920" s="2" t="s">
        <v>4128</v>
      </c>
      <c r="F920" s="5">
        <v>45957</v>
      </c>
      <c r="G920" s="4">
        <v>26655.24</v>
      </c>
      <c r="H920" s="4" t="s">
        <v>4134</v>
      </c>
      <c r="I920" s="2" t="s">
        <v>36</v>
      </c>
      <c r="J920" s="2">
        <v>540</v>
      </c>
      <c r="K920" s="2">
        <v>1.5</v>
      </c>
      <c r="L920" s="2">
        <v>0</v>
      </c>
      <c r="M920" s="2">
        <v>810</v>
      </c>
    </row>
    <row r="921" spans="1:13" x14ac:dyDescent="0.2">
      <c r="A921" s="2" t="s">
        <v>777</v>
      </c>
      <c r="B921" s="2" t="s">
        <v>778</v>
      </c>
      <c r="C921" s="2" t="s">
        <v>592</v>
      </c>
      <c r="D921" s="2" t="s">
        <v>52</v>
      </c>
      <c r="E921" s="2" t="s">
        <v>4128</v>
      </c>
      <c r="F921" s="5"/>
      <c r="G921" s="4">
        <v>0</v>
      </c>
      <c r="H921" s="4"/>
      <c r="I921" s="2" t="s">
        <v>36</v>
      </c>
      <c r="J921" s="2">
        <v>540</v>
      </c>
      <c r="K921" s="2">
        <v>1.5</v>
      </c>
      <c r="L921" s="2">
        <v>0</v>
      </c>
      <c r="M921" s="2">
        <v>810</v>
      </c>
    </row>
    <row r="922" spans="1:13" x14ac:dyDescent="0.2">
      <c r="A922" s="2" t="s">
        <v>3792</v>
      </c>
      <c r="B922" s="2" t="s">
        <v>3793</v>
      </c>
      <c r="C922" s="2" t="s">
        <v>592</v>
      </c>
      <c r="D922" s="2" t="s">
        <v>52</v>
      </c>
      <c r="E922" s="2" t="s">
        <v>4128</v>
      </c>
      <c r="F922" s="5"/>
      <c r="G922" s="4">
        <v>3000</v>
      </c>
      <c r="H922" s="4"/>
      <c r="I922" s="2" t="s">
        <v>36</v>
      </c>
      <c r="J922" s="2">
        <v>540</v>
      </c>
      <c r="K922" s="2">
        <v>1.5</v>
      </c>
      <c r="L922" s="2">
        <v>0</v>
      </c>
      <c r="M922" s="2">
        <v>810</v>
      </c>
    </row>
    <row r="923" spans="1:13" x14ac:dyDescent="0.2">
      <c r="A923" s="2" t="s">
        <v>3794</v>
      </c>
      <c r="B923" s="2" t="s">
        <v>3795</v>
      </c>
      <c r="C923" s="2" t="s">
        <v>91</v>
      </c>
      <c r="D923" s="2" t="s">
        <v>52</v>
      </c>
      <c r="E923" s="2" t="s">
        <v>4128</v>
      </c>
      <c r="F923" s="5"/>
      <c r="G923" s="4">
        <v>0</v>
      </c>
      <c r="H923" s="4"/>
      <c r="I923" s="2" t="s">
        <v>36</v>
      </c>
      <c r="J923" s="2">
        <v>540</v>
      </c>
      <c r="K923" s="2">
        <v>1.5</v>
      </c>
      <c r="L923" s="2">
        <v>0</v>
      </c>
      <c r="M923" s="2">
        <v>810</v>
      </c>
    </row>
    <row r="924" spans="1:13" x14ac:dyDescent="0.2">
      <c r="A924" s="2" t="s">
        <v>3796</v>
      </c>
      <c r="B924" s="2" t="s">
        <v>3797</v>
      </c>
      <c r="C924" s="2" t="s">
        <v>4126</v>
      </c>
      <c r="D924" s="2" t="s">
        <v>52</v>
      </c>
      <c r="E924" s="2" t="s">
        <v>4128</v>
      </c>
      <c r="F924" s="5"/>
      <c r="G924" s="4">
        <v>0</v>
      </c>
      <c r="H924" s="4"/>
      <c r="I924" s="2" t="s">
        <v>36</v>
      </c>
      <c r="J924" s="2">
        <v>540</v>
      </c>
      <c r="K924" s="2">
        <v>1.5</v>
      </c>
      <c r="L924" s="2">
        <v>0</v>
      </c>
      <c r="M924" s="2">
        <v>810</v>
      </c>
    </row>
    <row r="925" spans="1:13" x14ac:dyDescent="0.2">
      <c r="A925" s="4" t="s">
        <v>471</v>
      </c>
      <c r="B925" s="4" t="s">
        <v>472</v>
      </c>
      <c r="C925" s="4" t="s">
        <v>4124</v>
      </c>
      <c r="D925" s="4" t="s">
        <v>52</v>
      </c>
      <c r="E925" s="4" t="s">
        <v>88</v>
      </c>
      <c r="F925" s="5"/>
      <c r="G925" s="4">
        <v>0</v>
      </c>
      <c r="H925" s="4"/>
      <c r="I925" s="4" t="s">
        <v>36</v>
      </c>
      <c r="J925" s="4">
        <v>540</v>
      </c>
      <c r="K925" s="4">
        <v>1.5</v>
      </c>
      <c r="L925" s="4">
        <v>810</v>
      </c>
      <c r="M925" s="4">
        <v>0</v>
      </c>
    </row>
    <row r="926" spans="1:13" x14ac:dyDescent="0.2">
      <c r="A926" s="2" t="s">
        <v>1259</v>
      </c>
      <c r="B926" s="2" t="s">
        <v>1260</v>
      </c>
      <c r="C926" s="2" t="s">
        <v>7</v>
      </c>
      <c r="D926" s="2" t="s">
        <v>52</v>
      </c>
      <c r="E926" s="2" t="s">
        <v>4128</v>
      </c>
      <c r="F926" s="5"/>
      <c r="G926" s="4">
        <v>0</v>
      </c>
      <c r="H926" s="4"/>
      <c r="I926" s="2" t="s">
        <v>36</v>
      </c>
      <c r="J926" s="2">
        <v>540</v>
      </c>
      <c r="K926" s="2">
        <v>1.5</v>
      </c>
      <c r="L926" s="2">
        <v>345</v>
      </c>
      <c r="M926" s="2">
        <v>465</v>
      </c>
    </row>
    <row r="927" spans="1:13" x14ac:dyDescent="0.2">
      <c r="A927" s="2" t="s">
        <v>933</v>
      </c>
      <c r="B927" s="2" t="s">
        <v>934</v>
      </c>
      <c r="C927" s="2" t="s">
        <v>7</v>
      </c>
      <c r="D927" s="2" t="s">
        <v>52</v>
      </c>
      <c r="E927" s="2" t="s">
        <v>4128</v>
      </c>
      <c r="F927" s="5"/>
      <c r="G927" s="4">
        <v>0</v>
      </c>
      <c r="H927" s="4"/>
      <c r="I927" s="2" t="s">
        <v>36</v>
      </c>
      <c r="J927" s="2">
        <v>540</v>
      </c>
      <c r="K927" s="2">
        <v>1.5</v>
      </c>
      <c r="L927" s="2">
        <v>0</v>
      </c>
      <c r="M927" s="2">
        <v>810</v>
      </c>
    </row>
    <row r="928" spans="1:13" x14ac:dyDescent="0.2">
      <c r="A928" s="4" t="s">
        <v>447</v>
      </c>
      <c r="B928" s="4" t="s">
        <v>448</v>
      </c>
      <c r="C928" s="4" t="s">
        <v>4124</v>
      </c>
      <c r="D928" s="4" t="s">
        <v>52</v>
      </c>
      <c r="E928" s="4" t="s">
        <v>88</v>
      </c>
      <c r="F928" s="5"/>
      <c r="G928" s="4">
        <v>0</v>
      </c>
      <c r="H928" s="4"/>
      <c r="I928" s="4" t="s">
        <v>36</v>
      </c>
      <c r="J928" s="4">
        <v>540</v>
      </c>
      <c r="K928" s="4">
        <v>1.5</v>
      </c>
      <c r="L928" s="4">
        <v>810</v>
      </c>
      <c r="M928" s="4">
        <v>0</v>
      </c>
    </row>
    <row r="929" spans="1:13" x14ac:dyDescent="0.2">
      <c r="A929" s="2" t="s">
        <v>3798</v>
      </c>
      <c r="B929" s="2" t="s">
        <v>3799</v>
      </c>
      <c r="C929" s="2" t="s">
        <v>592</v>
      </c>
      <c r="D929" s="2" t="s">
        <v>52</v>
      </c>
      <c r="E929" s="2" t="s">
        <v>4128</v>
      </c>
      <c r="F929" s="5"/>
      <c r="G929" s="4">
        <v>0</v>
      </c>
      <c r="H929" s="4"/>
      <c r="I929" s="2" t="s">
        <v>36</v>
      </c>
      <c r="J929" s="2">
        <v>540</v>
      </c>
      <c r="K929" s="2">
        <v>1.5</v>
      </c>
      <c r="L929" s="2">
        <v>0</v>
      </c>
      <c r="M929" s="2">
        <v>810</v>
      </c>
    </row>
    <row r="930" spans="1:13" x14ac:dyDescent="0.2">
      <c r="A930" s="2" t="s">
        <v>373</v>
      </c>
      <c r="B930" s="2" t="s">
        <v>374</v>
      </c>
      <c r="C930" s="2" t="s">
        <v>19</v>
      </c>
      <c r="D930" s="2" t="s">
        <v>52</v>
      </c>
      <c r="E930" s="2" t="s">
        <v>4128</v>
      </c>
      <c r="F930" s="5"/>
      <c r="G930" s="4">
        <v>0</v>
      </c>
      <c r="H930" s="4"/>
      <c r="I930" s="2" t="s">
        <v>36</v>
      </c>
      <c r="J930" s="2">
        <v>540</v>
      </c>
      <c r="K930" s="2">
        <v>1.5</v>
      </c>
      <c r="L930" s="2">
        <v>810</v>
      </c>
      <c r="M930" s="2">
        <v>0</v>
      </c>
    </row>
    <row r="931" spans="1:13" x14ac:dyDescent="0.2">
      <c r="A931" s="2" t="s">
        <v>533</v>
      </c>
      <c r="B931" s="2" t="s">
        <v>534</v>
      </c>
      <c r="C931" s="2" t="s">
        <v>54</v>
      </c>
      <c r="D931" s="2" t="s">
        <v>52</v>
      </c>
      <c r="E931" s="2" t="s">
        <v>4128</v>
      </c>
      <c r="F931" s="5"/>
      <c r="G931" s="4">
        <v>0</v>
      </c>
      <c r="H931" s="4"/>
      <c r="I931" s="2" t="s">
        <v>40</v>
      </c>
      <c r="J931" s="2">
        <v>540</v>
      </c>
      <c r="K931" s="2">
        <v>1.5</v>
      </c>
      <c r="L931" s="2">
        <v>600</v>
      </c>
      <c r="M931" s="2">
        <v>210</v>
      </c>
    </row>
    <row r="932" spans="1:13" x14ac:dyDescent="0.2">
      <c r="A932" s="2" t="s">
        <v>1017</v>
      </c>
      <c r="B932" s="2" t="s">
        <v>1018</v>
      </c>
      <c r="C932" s="2" t="s">
        <v>592</v>
      </c>
      <c r="D932" s="2" t="s">
        <v>52</v>
      </c>
      <c r="E932" s="2" t="s">
        <v>4128</v>
      </c>
      <c r="F932" s="5">
        <v>45944</v>
      </c>
      <c r="G932" s="4">
        <v>43375.9399999999</v>
      </c>
      <c r="H932" s="4" t="s">
        <v>4134</v>
      </c>
      <c r="I932" s="2" t="s">
        <v>40</v>
      </c>
      <c r="J932" s="2">
        <v>540</v>
      </c>
      <c r="K932" s="2">
        <v>1.5</v>
      </c>
      <c r="L932" s="2">
        <v>210</v>
      </c>
      <c r="M932" s="2">
        <v>600</v>
      </c>
    </row>
    <row r="933" spans="1:13" x14ac:dyDescent="0.2">
      <c r="A933" s="2" t="s">
        <v>1309</v>
      </c>
      <c r="B933" s="2" t="s">
        <v>1310</v>
      </c>
      <c r="C933" s="2" t="s">
        <v>592</v>
      </c>
      <c r="D933" s="2" t="s">
        <v>52</v>
      </c>
      <c r="E933" s="2" t="s">
        <v>4128</v>
      </c>
      <c r="F933" s="5"/>
      <c r="G933" s="4">
        <v>0</v>
      </c>
      <c r="H933" s="4"/>
      <c r="I933" s="2" t="s">
        <v>40</v>
      </c>
      <c r="J933" s="2">
        <v>540</v>
      </c>
      <c r="K933" s="2">
        <v>1.5</v>
      </c>
      <c r="L933" s="2">
        <v>600</v>
      </c>
      <c r="M933" s="2">
        <v>210</v>
      </c>
    </row>
    <row r="934" spans="1:13" x14ac:dyDescent="0.2">
      <c r="A934" s="2" t="s">
        <v>1303</v>
      </c>
      <c r="B934" s="2" t="s">
        <v>1304</v>
      </c>
      <c r="C934" s="2" t="s">
        <v>1366</v>
      </c>
      <c r="D934" s="2" t="s">
        <v>52</v>
      </c>
      <c r="E934" s="2" t="s">
        <v>4128</v>
      </c>
      <c r="F934" s="5"/>
      <c r="G934" s="4">
        <v>0</v>
      </c>
      <c r="H934" s="4"/>
      <c r="I934" s="2" t="s">
        <v>40</v>
      </c>
      <c r="J934" s="2">
        <v>540</v>
      </c>
      <c r="K934" s="2">
        <v>1.5</v>
      </c>
      <c r="L934" s="2">
        <v>600</v>
      </c>
      <c r="M934" s="2">
        <v>210</v>
      </c>
    </row>
    <row r="935" spans="1:13" x14ac:dyDescent="0.2">
      <c r="A935" s="4" t="s">
        <v>717</v>
      </c>
      <c r="B935" s="4" t="s">
        <v>718</v>
      </c>
      <c r="C935" s="4" t="s">
        <v>4124</v>
      </c>
      <c r="D935" s="4" t="s">
        <v>52</v>
      </c>
      <c r="E935" s="4" t="s">
        <v>88</v>
      </c>
      <c r="F935" s="5"/>
      <c r="G935" s="4">
        <v>0</v>
      </c>
      <c r="H935" s="4"/>
      <c r="I935" s="4" t="s">
        <v>40</v>
      </c>
      <c r="J935" s="4">
        <v>540</v>
      </c>
      <c r="K935" s="4">
        <v>1.5</v>
      </c>
      <c r="L935" s="4">
        <v>0</v>
      </c>
      <c r="M935" s="4">
        <v>810</v>
      </c>
    </row>
    <row r="936" spans="1:13" x14ac:dyDescent="0.2">
      <c r="A936" s="2" t="s">
        <v>4078</v>
      </c>
      <c r="B936" s="2" t="s">
        <v>4079</v>
      </c>
      <c r="C936" s="2" t="s">
        <v>4127</v>
      </c>
      <c r="D936" s="2" t="s">
        <v>52</v>
      </c>
      <c r="E936" s="2" t="s">
        <v>4128</v>
      </c>
      <c r="F936" s="5"/>
      <c r="G936" s="4">
        <v>0</v>
      </c>
      <c r="H936" s="4"/>
      <c r="I936" s="2" t="s">
        <v>40</v>
      </c>
      <c r="J936" s="2">
        <v>540</v>
      </c>
      <c r="K936" s="2">
        <v>1.5</v>
      </c>
      <c r="L936" s="2">
        <v>0</v>
      </c>
      <c r="M936" s="2">
        <v>810</v>
      </c>
    </row>
    <row r="937" spans="1:13" x14ac:dyDescent="0.2">
      <c r="A937" s="2" t="s">
        <v>1255</v>
      </c>
      <c r="B937" s="2" t="s">
        <v>1256</v>
      </c>
      <c r="C937" s="2" t="s">
        <v>1366</v>
      </c>
      <c r="D937" s="2" t="s">
        <v>52</v>
      </c>
      <c r="E937" s="2" t="s">
        <v>4128</v>
      </c>
      <c r="F937" s="5"/>
      <c r="G937" s="4">
        <v>0</v>
      </c>
      <c r="H937" s="4"/>
      <c r="I937" s="2" t="s">
        <v>40</v>
      </c>
      <c r="J937" s="2">
        <v>540</v>
      </c>
      <c r="K937" s="2">
        <v>1.5</v>
      </c>
      <c r="L937" s="2">
        <v>345</v>
      </c>
      <c r="M937" s="2">
        <v>465</v>
      </c>
    </row>
    <row r="938" spans="1:13" x14ac:dyDescent="0.2">
      <c r="A938" s="2" t="s">
        <v>419</v>
      </c>
      <c r="B938" s="2" t="s">
        <v>420</v>
      </c>
      <c r="C938" s="2" t="s">
        <v>7</v>
      </c>
      <c r="D938" s="2" t="s">
        <v>52</v>
      </c>
      <c r="E938" s="2" t="s">
        <v>4128</v>
      </c>
      <c r="F938" s="5"/>
      <c r="G938" s="4">
        <v>0</v>
      </c>
      <c r="H938" s="4"/>
      <c r="I938" s="2" t="s">
        <v>40</v>
      </c>
      <c r="J938" s="2">
        <v>540</v>
      </c>
      <c r="K938" s="2">
        <v>1.5</v>
      </c>
      <c r="L938" s="2">
        <v>600</v>
      </c>
      <c r="M938" s="2">
        <v>210</v>
      </c>
    </row>
    <row r="939" spans="1:13" x14ac:dyDescent="0.2">
      <c r="A939" s="2" t="s">
        <v>4080</v>
      </c>
      <c r="B939" s="2" t="s">
        <v>4081</v>
      </c>
      <c r="C939" s="2" t="s">
        <v>66</v>
      </c>
      <c r="D939" s="2" t="s">
        <v>52</v>
      </c>
      <c r="E939" s="2" t="s">
        <v>4128</v>
      </c>
      <c r="F939" s="5"/>
      <c r="G939" s="4">
        <v>0</v>
      </c>
      <c r="H939" s="4"/>
      <c r="I939" s="2" t="s">
        <v>40</v>
      </c>
      <c r="J939" s="2">
        <v>540</v>
      </c>
      <c r="K939" s="2">
        <v>1.5</v>
      </c>
      <c r="L939" s="2">
        <v>0</v>
      </c>
      <c r="M939" s="2">
        <v>810</v>
      </c>
    </row>
    <row r="940" spans="1:13" x14ac:dyDescent="0.2">
      <c r="A940" s="2" t="s">
        <v>877</v>
      </c>
      <c r="B940" s="2" t="s">
        <v>878</v>
      </c>
      <c r="C940" s="2" t="s">
        <v>1366</v>
      </c>
      <c r="D940" s="2" t="s">
        <v>52</v>
      </c>
      <c r="E940" s="2" t="s">
        <v>4128</v>
      </c>
      <c r="F940" s="5"/>
      <c r="G940" s="4">
        <v>0</v>
      </c>
      <c r="H940" s="4"/>
      <c r="I940" s="2" t="s">
        <v>40</v>
      </c>
      <c r="J940" s="2">
        <v>540</v>
      </c>
      <c r="K940" s="2">
        <v>1.5</v>
      </c>
      <c r="L940" s="2">
        <v>0</v>
      </c>
      <c r="M940" s="2">
        <v>810</v>
      </c>
    </row>
    <row r="941" spans="1:13" x14ac:dyDescent="0.2">
      <c r="A941" s="2" t="s">
        <v>1335</v>
      </c>
      <c r="B941" s="2" t="s">
        <v>1336</v>
      </c>
      <c r="C941" s="2" t="s">
        <v>7</v>
      </c>
      <c r="D941" s="2" t="s">
        <v>52</v>
      </c>
      <c r="E941" s="2" t="s">
        <v>4128</v>
      </c>
      <c r="F941" s="5"/>
      <c r="G941" s="4">
        <v>0</v>
      </c>
      <c r="H941" s="4"/>
      <c r="I941" s="2" t="s">
        <v>40</v>
      </c>
      <c r="J941" s="2">
        <v>540</v>
      </c>
      <c r="K941" s="2">
        <v>1.5</v>
      </c>
      <c r="L941" s="2">
        <v>810</v>
      </c>
      <c r="M941" s="2">
        <v>0</v>
      </c>
    </row>
    <row r="942" spans="1:13" x14ac:dyDescent="0.2">
      <c r="A942" s="2" t="s">
        <v>327</v>
      </c>
      <c r="B942" s="2" t="s">
        <v>328</v>
      </c>
      <c r="C942" s="2" t="s">
        <v>7</v>
      </c>
      <c r="D942" s="2" t="s">
        <v>52</v>
      </c>
      <c r="E942" s="2" t="s">
        <v>4128</v>
      </c>
      <c r="F942" s="5"/>
      <c r="G942" s="4">
        <v>0</v>
      </c>
      <c r="H942" s="4"/>
      <c r="I942" s="2" t="s">
        <v>40</v>
      </c>
      <c r="J942" s="2">
        <v>540</v>
      </c>
      <c r="K942" s="2">
        <v>1.5</v>
      </c>
      <c r="L942" s="2">
        <v>810</v>
      </c>
      <c r="M942" s="2">
        <v>0</v>
      </c>
    </row>
    <row r="943" spans="1:13" x14ac:dyDescent="0.2">
      <c r="A943" s="2" t="s">
        <v>1237</v>
      </c>
      <c r="B943" s="2" t="s">
        <v>1238</v>
      </c>
      <c r="C943" s="2" t="s">
        <v>7</v>
      </c>
      <c r="D943" s="2" t="s">
        <v>52</v>
      </c>
      <c r="E943" s="2" t="s">
        <v>4128</v>
      </c>
      <c r="F943" s="5"/>
      <c r="G943" s="4">
        <v>18981</v>
      </c>
      <c r="H943" s="4"/>
      <c r="I943" s="2" t="s">
        <v>40</v>
      </c>
      <c r="J943" s="2">
        <v>540</v>
      </c>
      <c r="K943" s="2">
        <v>1.5</v>
      </c>
      <c r="L943" s="2">
        <v>345</v>
      </c>
      <c r="M943" s="2">
        <v>465</v>
      </c>
    </row>
    <row r="944" spans="1:13" x14ac:dyDescent="0.2">
      <c r="A944" s="2" t="s">
        <v>363</v>
      </c>
      <c r="B944" s="2" t="s">
        <v>364</v>
      </c>
      <c r="C944" s="2" t="s">
        <v>94</v>
      </c>
      <c r="D944" s="2" t="s">
        <v>52</v>
      </c>
      <c r="E944" s="2" t="s">
        <v>4128</v>
      </c>
      <c r="F944" s="5">
        <v>45911</v>
      </c>
      <c r="G944" s="4">
        <v>169031.42</v>
      </c>
      <c r="H944" s="4"/>
      <c r="I944" s="2" t="s">
        <v>40</v>
      </c>
      <c r="J944" s="2">
        <v>540</v>
      </c>
      <c r="K944" s="2">
        <v>1.5</v>
      </c>
      <c r="L944" s="2">
        <v>810</v>
      </c>
      <c r="M944" s="2">
        <v>0</v>
      </c>
    </row>
    <row r="945" spans="1:13" x14ac:dyDescent="0.2">
      <c r="A945" s="2" t="s">
        <v>3800</v>
      </c>
      <c r="B945" s="2" t="s">
        <v>3801</v>
      </c>
      <c r="C945" s="2" t="s">
        <v>4125</v>
      </c>
      <c r="D945" s="2" t="s">
        <v>52</v>
      </c>
      <c r="E945" s="2" t="s">
        <v>4128</v>
      </c>
      <c r="F945" s="5"/>
      <c r="G945" s="4">
        <v>0</v>
      </c>
      <c r="H945" s="4"/>
      <c r="I945" s="2" t="s">
        <v>40</v>
      </c>
      <c r="J945" s="2">
        <v>540</v>
      </c>
      <c r="K945" s="2">
        <v>1.5</v>
      </c>
      <c r="L945" s="2">
        <v>0</v>
      </c>
      <c r="M945" s="2">
        <v>810</v>
      </c>
    </row>
    <row r="946" spans="1:13" x14ac:dyDescent="0.2">
      <c r="A946" s="2" t="s">
        <v>1305</v>
      </c>
      <c r="B946" s="2" t="s">
        <v>1306</v>
      </c>
      <c r="C946" s="2" t="s">
        <v>91</v>
      </c>
      <c r="D946" s="2" t="s">
        <v>52</v>
      </c>
      <c r="E946" s="2" t="s">
        <v>4128</v>
      </c>
      <c r="F946" s="5"/>
      <c r="G946" s="4">
        <v>0</v>
      </c>
      <c r="H946" s="4"/>
      <c r="I946" s="2" t="s">
        <v>4115</v>
      </c>
      <c r="J946" s="2">
        <v>540</v>
      </c>
      <c r="K946" s="2">
        <v>1.5</v>
      </c>
      <c r="L946" s="2">
        <v>600</v>
      </c>
      <c r="M946" s="2">
        <v>210</v>
      </c>
    </row>
    <row r="947" spans="1:13" x14ac:dyDescent="0.2">
      <c r="A947" s="2" t="s">
        <v>479</v>
      </c>
      <c r="B947" s="2" t="s">
        <v>480</v>
      </c>
      <c r="C947" s="2" t="s">
        <v>19</v>
      </c>
      <c r="D947" s="2" t="s">
        <v>52</v>
      </c>
      <c r="E947" s="2" t="s">
        <v>4128</v>
      </c>
      <c r="F947" s="5"/>
      <c r="G947" s="4">
        <v>0</v>
      </c>
      <c r="H947" s="4"/>
      <c r="I947" s="2" t="s">
        <v>44</v>
      </c>
      <c r="J947" s="2">
        <v>540</v>
      </c>
      <c r="K947" s="2">
        <v>1.5</v>
      </c>
      <c r="L947" s="2">
        <v>810</v>
      </c>
      <c r="M947" s="2">
        <v>0</v>
      </c>
    </row>
    <row r="948" spans="1:13" x14ac:dyDescent="0.2">
      <c r="A948" s="2" t="s">
        <v>3802</v>
      </c>
      <c r="B948" s="2" t="s">
        <v>3803</v>
      </c>
      <c r="C948" s="2" t="s">
        <v>94</v>
      </c>
      <c r="D948" s="2" t="s">
        <v>52</v>
      </c>
      <c r="E948" s="2" t="s">
        <v>4128</v>
      </c>
      <c r="F948" s="5"/>
      <c r="G948" s="4">
        <v>0</v>
      </c>
      <c r="H948" s="4"/>
      <c r="I948" s="2" t="s">
        <v>44</v>
      </c>
      <c r="J948" s="2">
        <v>540</v>
      </c>
      <c r="K948" s="2">
        <v>1.5</v>
      </c>
      <c r="L948" s="2">
        <v>0</v>
      </c>
      <c r="M948" s="2">
        <v>810</v>
      </c>
    </row>
    <row r="949" spans="1:13" x14ac:dyDescent="0.2">
      <c r="A949" s="2" t="s">
        <v>4082</v>
      </c>
      <c r="B949" s="2" t="s">
        <v>4083</v>
      </c>
      <c r="C949" s="2" t="s">
        <v>19</v>
      </c>
      <c r="D949" s="2" t="s">
        <v>52</v>
      </c>
      <c r="E949" s="2" t="s">
        <v>4128</v>
      </c>
      <c r="F949" s="5"/>
      <c r="G949" s="4">
        <v>0</v>
      </c>
      <c r="H949" s="4"/>
      <c r="I949" s="2" t="s">
        <v>44</v>
      </c>
      <c r="J949" s="2">
        <v>540</v>
      </c>
      <c r="K949" s="2">
        <v>1.5</v>
      </c>
      <c r="L949" s="2">
        <v>0</v>
      </c>
      <c r="M949" s="2">
        <v>810</v>
      </c>
    </row>
    <row r="950" spans="1:13" x14ac:dyDescent="0.2">
      <c r="A950" s="2" t="s">
        <v>705</v>
      </c>
      <c r="B950" s="2" t="s">
        <v>706</v>
      </c>
      <c r="C950" s="2" t="s">
        <v>7</v>
      </c>
      <c r="D950" s="2" t="s">
        <v>52</v>
      </c>
      <c r="E950" s="2" t="s">
        <v>4128</v>
      </c>
      <c r="F950" s="5"/>
      <c r="G950" s="4">
        <v>0</v>
      </c>
      <c r="H950" s="4"/>
      <c r="I950" s="2" t="s">
        <v>44</v>
      </c>
      <c r="J950" s="2">
        <v>540</v>
      </c>
      <c r="K950" s="2">
        <v>1.5</v>
      </c>
      <c r="L950" s="2">
        <v>0</v>
      </c>
      <c r="M950" s="2">
        <v>810</v>
      </c>
    </row>
    <row r="951" spans="1:13" x14ac:dyDescent="0.2">
      <c r="A951" s="2" t="s">
        <v>241</v>
      </c>
      <c r="B951" s="2" t="s">
        <v>242</v>
      </c>
      <c r="C951" s="2" t="s">
        <v>19</v>
      </c>
      <c r="D951" s="2" t="s">
        <v>52</v>
      </c>
      <c r="E951" s="2" t="s">
        <v>4128</v>
      </c>
      <c r="F951" s="5">
        <v>45945</v>
      </c>
      <c r="G951" s="4">
        <v>7597.4099999999899</v>
      </c>
      <c r="H951" s="4" t="s">
        <v>4134</v>
      </c>
      <c r="I951" s="2" t="s">
        <v>44</v>
      </c>
      <c r="J951" s="2">
        <v>540</v>
      </c>
      <c r="K951" s="2">
        <v>1.5</v>
      </c>
      <c r="L951" s="2">
        <v>210</v>
      </c>
      <c r="M951" s="2">
        <v>600</v>
      </c>
    </row>
    <row r="952" spans="1:13" x14ac:dyDescent="0.2">
      <c r="A952" s="2" t="s">
        <v>3804</v>
      </c>
      <c r="B952" s="2" t="s">
        <v>3805</v>
      </c>
      <c r="C952" s="2" t="s">
        <v>91</v>
      </c>
      <c r="D952" s="2" t="s">
        <v>52</v>
      </c>
      <c r="E952" s="2" t="s">
        <v>4128</v>
      </c>
      <c r="F952" s="5"/>
      <c r="G952" s="4">
        <v>0</v>
      </c>
      <c r="H952" s="4"/>
      <c r="I952" s="2" t="s">
        <v>44</v>
      </c>
      <c r="J952" s="2">
        <v>540</v>
      </c>
      <c r="K952" s="2">
        <v>1.5</v>
      </c>
      <c r="L952" s="2">
        <v>0</v>
      </c>
      <c r="M952" s="2">
        <v>810</v>
      </c>
    </row>
    <row r="953" spans="1:13" x14ac:dyDescent="0.2">
      <c r="A953" s="2" t="s">
        <v>269</v>
      </c>
      <c r="B953" s="2" t="s">
        <v>270</v>
      </c>
      <c r="C953" s="2" t="s">
        <v>54</v>
      </c>
      <c r="D953" s="2" t="s">
        <v>52</v>
      </c>
      <c r="E953" s="2" t="s">
        <v>4128</v>
      </c>
      <c r="F953" s="5"/>
      <c r="G953" s="4">
        <v>0</v>
      </c>
      <c r="H953" s="4"/>
      <c r="I953" s="2" t="s">
        <v>44</v>
      </c>
      <c r="J953" s="2">
        <v>540</v>
      </c>
      <c r="K953" s="2">
        <v>1.5</v>
      </c>
      <c r="L953" s="2">
        <v>210</v>
      </c>
      <c r="M953" s="2">
        <v>600</v>
      </c>
    </row>
    <row r="954" spans="1:13" x14ac:dyDescent="0.2">
      <c r="A954" s="2" t="s">
        <v>507</v>
      </c>
      <c r="B954" s="2" t="s">
        <v>508</v>
      </c>
      <c r="C954" s="2" t="s">
        <v>19</v>
      </c>
      <c r="D954" s="2" t="s">
        <v>52</v>
      </c>
      <c r="E954" s="2" t="s">
        <v>4128</v>
      </c>
      <c r="F954" s="5"/>
      <c r="G954" s="4">
        <v>0</v>
      </c>
      <c r="H954" s="4"/>
      <c r="I954" s="2" t="s">
        <v>44</v>
      </c>
      <c r="J954" s="2">
        <v>540</v>
      </c>
      <c r="K954" s="2">
        <v>1.5</v>
      </c>
      <c r="L954" s="2">
        <v>810</v>
      </c>
      <c r="M954" s="2">
        <v>0</v>
      </c>
    </row>
    <row r="955" spans="1:13" x14ac:dyDescent="0.2">
      <c r="A955" s="2" t="s">
        <v>1357</v>
      </c>
      <c r="B955" s="2" t="s">
        <v>1358</v>
      </c>
      <c r="C955" s="2" t="s">
        <v>1366</v>
      </c>
      <c r="D955" s="2" t="s">
        <v>52</v>
      </c>
      <c r="E955" s="2" t="s">
        <v>4128</v>
      </c>
      <c r="F955" s="5"/>
      <c r="G955" s="4">
        <v>0</v>
      </c>
      <c r="H955" s="4"/>
      <c r="I955" s="2" t="s">
        <v>44</v>
      </c>
      <c r="J955" s="2">
        <v>540</v>
      </c>
      <c r="K955" s="2">
        <v>1.5</v>
      </c>
      <c r="L955" s="2">
        <v>810</v>
      </c>
      <c r="M955" s="2">
        <v>0</v>
      </c>
    </row>
    <row r="956" spans="1:13" x14ac:dyDescent="0.2">
      <c r="A956" s="2" t="s">
        <v>939</v>
      </c>
      <c r="B956" s="2" t="s">
        <v>940</v>
      </c>
      <c r="C956" s="2" t="s">
        <v>7</v>
      </c>
      <c r="D956" s="2" t="s">
        <v>52</v>
      </c>
      <c r="E956" s="2" t="s">
        <v>4128</v>
      </c>
      <c r="F956" s="5"/>
      <c r="G956" s="4">
        <v>0</v>
      </c>
      <c r="H956" s="4"/>
      <c r="I956" s="2" t="s">
        <v>44</v>
      </c>
      <c r="J956" s="2">
        <v>540</v>
      </c>
      <c r="K956" s="2">
        <v>1.5</v>
      </c>
      <c r="L956" s="2">
        <v>0</v>
      </c>
      <c r="M956" s="2">
        <v>810</v>
      </c>
    </row>
    <row r="957" spans="1:13" x14ac:dyDescent="0.2">
      <c r="A957" s="2" t="s">
        <v>947</v>
      </c>
      <c r="B957" s="2" t="s">
        <v>948</v>
      </c>
      <c r="C957" s="2" t="s">
        <v>7</v>
      </c>
      <c r="D957" s="2" t="s">
        <v>52</v>
      </c>
      <c r="E957" s="2" t="s">
        <v>4128</v>
      </c>
      <c r="F957" s="5"/>
      <c r="G957" s="4">
        <v>0</v>
      </c>
      <c r="H957" s="4"/>
      <c r="I957" s="2" t="s">
        <v>44</v>
      </c>
      <c r="J957" s="2">
        <v>540</v>
      </c>
      <c r="K957" s="2">
        <v>1.5</v>
      </c>
      <c r="L957" s="2">
        <v>0</v>
      </c>
      <c r="M957" s="2">
        <v>810</v>
      </c>
    </row>
    <row r="958" spans="1:13" x14ac:dyDescent="0.2">
      <c r="A958" s="2" t="s">
        <v>369</v>
      </c>
      <c r="B958" s="2" t="s">
        <v>370</v>
      </c>
      <c r="C958" s="2" t="s">
        <v>94</v>
      </c>
      <c r="D958" s="2" t="s">
        <v>52</v>
      </c>
      <c r="E958" s="2" t="s">
        <v>4128</v>
      </c>
      <c r="F958" s="5"/>
      <c r="G958" s="4">
        <v>0</v>
      </c>
      <c r="H958" s="4"/>
      <c r="I958" s="2" t="s">
        <v>44</v>
      </c>
      <c r="J958" s="2">
        <v>540</v>
      </c>
      <c r="K958" s="2">
        <v>1.5</v>
      </c>
      <c r="L958" s="2">
        <v>810</v>
      </c>
      <c r="M958" s="2">
        <v>0</v>
      </c>
    </row>
    <row r="959" spans="1:13" x14ac:dyDescent="0.2">
      <c r="A959" s="2" t="s">
        <v>313</v>
      </c>
      <c r="B959" s="2" t="s">
        <v>314</v>
      </c>
      <c r="C959" s="2" t="s">
        <v>7</v>
      </c>
      <c r="D959" s="2" t="s">
        <v>52</v>
      </c>
      <c r="E959" s="2" t="s">
        <v>4128</v>
      </c>
      <c r="F959" s="5"/>
      <c r="G959" s="4">
        <v>0</v>
      </c>
      <c r="H959" s="4"/>
      <c r="I959" s="2" t="s">
        <v>4116</v>
      </c>
      <c r="J959" s="2">
        <v>540</v>
      </c>
      <c r="K959" s="2">
        <v>1.5</v>
      </c>
      <c r="L959" s="2">
        <v>810</v>
      </c>
      <c r="M959" s="2">
        <v>0</v>
      </c>
    </row>
    <row r="960" spans="1:13" x14ac:dyDescent="0.2">
      <c r="A960" s="2" t="s">
        <v>1343</v>
      </c>
      <c r="B960" s="2" t="s">
        <v>1344</v>
      </c>
      <c r="C960" s="2" t="s">
        <v>94</v>
      </c>
      <c r="D960" s="2" t="s">
        <v>52</v>
      </c>
      <c r="E960" s="2" t="s">
        <v>4128</v>
      </c>
      <c r="F960" s="5"/>
      <c r="G960" s="4">
        <v>0</v>
      </c>
      <c r="H960" s="4"/>
      <c r="I960" s="2" t="s">
        <v>35</v>
      </c>
      <c r="J960" s="2">
        <v>540</v>
      </c>
      <c r="K960" s="2">
        <v>1.5</v>
      </c>
      <c r="L960" s="2">
        <v>810</v>
      </c>
      <c r="M960" s="2">
        <v>0</v>
      </c>
    </row>
    <row r="961" spans="1:13" x14ac:dyDescent="0.2">
      <c r="A961" s="2" t="s">
        <v>1341</v>
      </c>
      <c r="B961" s="2" t="s">
        <v>1342</v>
      </c>
      <c r="C961" s="2" t="s">
        <v>94</v>
      </c>
      <c r="D961" s="2" t="s">
        <v>52</v>
      </c>
      <c r="E961" s="2" t="s">
        <v>4128</v>
      </c>
      <c r="F961" s="5"/>
      <c r="G961" s="4">
        <v>0</v>
      </c>
      <c r="H961" s="4"/>
      <c r="I961" s="2" t="s">
        <v>35</v>
      </c>
      <c r="J961" s="2">
        <v>540</v>
      </c>
      <c r="K961" s="2">
        <v>1.5</v>
      </c>
      <c r="L961" s="2">
        <v>810</v>
      </c>
      <c r="M961" s="2">
        <v>0</v>
      </c>
    </row>
    <row r="962" spans="1:13" x14ac:dyDescent="0.2">
      <c r="A962" s="4" t="s">
        <v>555</v>
      </c>
      <c r="B962" s="4" t="s">
        <v>556</v>
      </c>
      <c r="C962" s="4" t="s">
        <v>4124</v>
      </c>
      <c r="D962" s="4" t="s">
        <v>45</v>
      </c>
      <c r="E962" s="4" t="s">
        <v>88</v>
      </c>
      <c r="F962" s="5"/>
      <c r="G962" s="4">
        <v>0</v>
      </c>
      <c r="H962" s="4"/>
      <c r="I962" s="4" t="s">
        <v>35</v>
      </c>
      <c r="J962" s="4">
        <v>540</v>
      </c>
      <c r="K962" s="4">
        <v>1.5</v>
      </c>
      <c r="L962" s="4">
        <v>810</v>
      </c>
      <c r="M962" s="4">
        <v>0</v>
      </c>
    </row>
    <row r="963" spans="1:13" x14ac:dyDescent="0.2">
      <c r="A963" s="2" t="s">
        <v>123</v>
      </c>
      <c r="B963" s="2" t="s">
        <v>124</v>
      </c>
      <c r="C963" s="2" t="s">
        <v>19</v>
      </c>
      <c r="D963" s="2" t="s">
        <v>52</v>
      </c>
      <c r="E963" s="2" t="s">
        <v>4128</v>
      </c>
      <c r="F963" s="5"/>
      <c r="G963" s="4">
        <v>0</v>
      </c>
      <c r="H963" s="4"/>
      <c r="I963" s="2" t="s">
        <v>35</v>
      </c>
      <c r="J963" s="2">
        <v>540</v>
      </c>
      <c r="K963" s="2">
        <v>1.5</v>
      </c>
      <c r="L963" s="2">
        <v>810</v>
      </c>
      <c r="M963" s="2">
        <v>0</v>
      </c>
    </row>
    <row r="964" spans="1:13" x14ac:dyDescent="0.2">
      <c r="A964" s="4" t="s">
        <v>1137</v>
      </c>
      <c r="B964" s="4" t="s">
        <v>1138</v>
      </c>
      <c r="C964" s="4" t="s">
        <v>4124</v>
      </c>
      <c r="D964" s="4" t="s">
        <v>63</v>
      </c>
      <c r="E964" s="4" t="s">
        <v>88</v>
      </c>
      <c r="F964" s="5"/>
      <c r="G964" s="4">
        <v>0</v>
      </c>
      <c r="H964" s="4"/>
      <c r="I964" s="4" t="s">
        <v>35</v>
      </c>
      <c r="J964" s="4">
        <v>540</v>
      </c>
      <c r="K964" s="4">
        <v>1.5</v>
      </c>
      <c r="L964" s="4">
        <v>210</v>
      </c>
      <c r="M964" s="4">
        <v>600</v>
      </c>
    </row>
    <row r="965" spans="1:13" x14ac:dyDescent="0.2">
      <c r="A965" s="2" t="s">
        <v>1267</v>
      </c>
      <c r="B965" s="2" t="s">
        <v>1268</v>
      </c>
      <c r="C965" s="2" t="s">
        <v>66</v>
      </c>
      <c r="D965" s="2" t="s">
        <v>52</v>
      </c>
      <c r="E965" s="2" t="s">
        <v>4128</v>
      </c>
      <c r="F965" s="5"/>
      <c r="G965" s="4">
        <v>0</v>
      </c>
      <c r="H965" s="4"/>
      <c r="I965" s="2" t="s">
        <v>35</v>
      </c>
      <c r="J965" s="2">
        <v>540</v>
      </c>
      <c r="K965" s="2">
        <v>1.5</v>
      </c>
      <c r="L965" s="2">
        <v>600</v>
      </c>
      <c r="M965" s="2">
        <v>210</v>
      </c>
    </row>
    <row r="966" spans="1:13" x14ac:dyDescent="0.2">
      <c r="A966" s="2" t="s">
        <v>4084</v>
      </c>
      <c r="B966" s="2" t="s">
        <v>4085</v>
      </c>
      <c r="C966" s="2" t="s">
        <v>54</v>
      </c>
      <c r="D966" s="2" t="s">
        <v>52</v>
      </c>
      <c r="E966" s="2" t="s">
        <v>4128</v>
      </c>
      <c r="F966" s="5"/>
      <c r="G966" s="4">
        <v>0</v>
      </c>
      <c r="H966" s="4"/>
      <c r="I966" s="2" t="s">
        <v>35</v>
      </c>
      <c r="J966" s="2">
        <v>540</v>
      </c>
      <c r="K966" s="2">
        <v>1.5</v>
      </c>
      <c r="L966" s="2">
        <v>0</v>
      </c>
      <c r="M966" s="2">
        <v>810</v>
      </c>
    </row>
    <row r="967" spans="1:13" x14ac:dyDescent="0.2">
      <c r="A967" s="2" t="s">
        <v>3806</v>
      </c>
      <c r="B967" s="2" t="s">
        <v>3807</v>
      </c>
      <c r="C967" s="2" t="s">
        <v>4125</v>
      </c>
      <c r="D967" s="2" t="s">
        <v>52</v>
      </c>
      <c r="E967" s="2" t="s">
        <v>4128</v>
      </c>
      <c r="F967" s="5"/>
      <c r="G967" s="4">
        <v>0</v>
      </c>
      <c r="H967" s="4"/>
      <c r="I967" s="2" t="s">
        <v>35</v>
      </c>
      <c r="J967" s="2">
        <v>540</v>
      </c>
      <c r="K967" s="2">
        <v>1.5</v>
      </c>
      <c r="L967" s="2">
        <v>0</v>
      </c>
      <c r="M967" s="2">
        <v>810</v>
      </c>
    </row>
    <row r="968" spans="1:13" x14ac:dyDescent="0.2">
      <c r="A968" s="2" t="s">
        <v>3808</v>
      </c>
      <c r="B968" s="2" t="s">
        <v>3809</v>
      </c>
      <c r="C968" s="2" t="s">
        <v>66</v>
      </c>
      <c r="D968" s="2" t="s">
        <v>52</v>
      </c>
      <c r="E968" s="2" t="s">
        <v>4128</v>
      </c>
      <c r="F968" s="5"/>
      <c r="G968" s="4">
        <v>0</v>
      </c>
      <c r="H968" s="4"/>
      <c r="I968" s="2" t="s">
        <v>35</v>
      </c>
      <c r="J968" s="2">
        <v>540</v>
      </c>
      <c r="K968" s="2">
        <v>1.5</v>
      </c>
      <c r="L968" s="2">
        <v>0</v>
      </c>
      <c r="M968" s="2">
        <v>810</v>
      </c>
    </row>
    <row r="969" spans="1:13" x14ac:dyDescent="0.2">
      <c r="A969" s="2" t="s">
        <v>1329</v>
      </c>
      <c r="B969" s="2" t="s">
        <v>1330</v>
      </c>
      <c r="C969" s="2" t="s">
        <v>66</v>
      </c>
      <c r="D969" s="2" t="s">
        <v>52</v>
      </c>
      <c r="E969" s="2" t="s">
        <v>4128</v>
      </c>
      <c r="F969" s="5"/>
      <c r="G969" s="4">
        <v>0</v>
      </c>
      <c r="H969" s="4"/>
      <c r="I969" s="2" t="s">
        <v>35</v>
      </c>
      <c r="J969" s="2">
        <v>540</v>
      </c>
      <c r="K969" s="2">
        <v>1.5</v>
      </c>
      <c r="L969" s="2">
        <v>810</v>
      </c>
      <c r="M969" s="2">
        <v>0</v>
      </c>
    </row>
    <row r="970" spans="1:13" x14ac:dyDescent="0.2">
      <c r="A970" s="2" t="s">
        <v>3810</v>
      </c>
      <c r="B970" s="2" t="s">
        <v>3811</v>
      </c>
      <c r="C970" s="2" t="s">
        <v>4125</v>
      </c>
      <c r="D970" s="2" t="s">
        <v>52</v>
      </c>
      <c r="E970" s="2" t="s">
        <v>4128</v>
      </c>
      <c r="F970" s="5"/>
      <c r="G970" s="4">
        <v>0</v>
      </c>
      <c r="H970" s="4"/>
      <c r="I970" s="2" t="s">
        <v>35</v>
      </c>
      <c r="J970" s="2">
        <v>540</v>
      </c>
      <c r="K970" s="2">
        <v>1.5</v>
      </c>
      <c r="L970" s="2">
        <v>0</v>
      </c>
      <c r="M970" s="2">
        <v>810</v>
      </c>
    </row>
    <row r="971" spans="1:13" x14ac:dyDescent="0.2">
      <c r="A971" s="2" t="s">
        <v>1201</v>
      </c>
      <c r="B971" s="2" t="s">
        <v>1202</v>
      </c>
      <c r="C971" s="2" t="s">
        <v>91</v>
      </c>
      <c r="D971" s="2" t="s">
        <v>52</v>
      </c>
      <c r="E971" s="2" t="s">
        <v>4128</v>
      </c>
      <c r="F971" s="5"/>
      <c r="G971" s="4">
        <v>0</v>
      </c>
      <c r="H971" s="4"/>
      <c r="I971" s="2" t="s">
        <v>35</v>
      </c>
      <c r="J971" s="2">
        <v>540</v>
      </c>
      <c r="K971" s="2">
        <v>1.5</v>
      </c>
      <c r="L971" s="2">
        <v>600</v>
      </c>
      <c r="M971" s="2">
        <v>210</v>
      </c>
    </row>
    <row r="972" spans="1:13" x14ac:dyDescent="0.2">
      <c r="A972" s="2" t="s">
        <v>583</v>
      </c>
      <c r="B972" s="2" t="s">
        <v>584</v>
      </c>
      <c r="C972" s="2" t="s">
        <v>54</v>
      </c>
      <c r="D972" s="2" t="s">
        <v>52</v>
      </c>
      <c r="E972" s="2" t="s">
        <v>4128</v>
      </c>
      <c r="F972" s="5"/>
      <c r="G972" s="4">
        <v>0</v>
      </c>
      <c r="H972" s="4"/>
      <c r="I972" s="2" t="s">
        <v>35</v>
      </c>
      <c r="J972" s="2">
        <v>540</v>
      </c>
      <c r="K972" s="2">
        <v>1.5</v>
      </c>
      <c r="L972" s="2">
        <v>810</v>
      </c>
      <c r="M972" s="2">
        <v>0</v>
      </c>
    </row>
    <row r="973" spans="1:13" x14ac:dyDescent="0.2">
      <c r="A973" s="2" t="s">
        <v>169</v>
      </c>
      <c r="B973" s="2" t="s">
        <v>170</v>
      </c>
      <c r="C973" s="2" t="s">
        <v>54</v>
      </c>
      <c r="D973" s="2" t="s">
        <v>52</v>
      </c>
      <c r="E973" s="2" t="s">
        <v>4128</v>
      </c>
      <c r="F973" s="5"/>
      <c r="G973" s="4">
        <v>0</v>
      </c>
      <c r="H973" s="4"/>
      <c r="I973" s="2" t="s">
        <v>35</v>
      </c>
      <c r="J973" s="2">
        <v>540</v>
      </c>
      <c r="K973" s="2">
        <v>1.5</v>
      </c>
      <c r="L973" s="2">
        <v>600</v>
      </c>
      <c r="M973" s="2">
        <v>210</v>
      </c>
    </row>
    <row r="974" spans="1:13" x14ac:dyDescent="0.2">
      <c r="A974" s="2" t="s">
        <v>757</v>
      </c>
      <c r="B974" s="2" t="s">
        <v>758</v>
      </c>
      <c r="C974" s="2" t="s">
        <v>66</v>
      </c>
      <c r="D974" s="2" t="s">
        <v>52</v>
      </c>
      <c r="E974" s="2" t="s">
        <v>4128</v>
      </c>
      <c r="F974" s="5"/>
      <c r="G974" s="4">
        <v>0</v>
      </c>
      <c r="H974" s="4"/>
      <c r="I974" s="2" t="s">
        <v>35</v>
      </c>
      <c r="J974" s="2">
        <v>540</v>
      </c>
      <c r="K974" s="2">
        <v>1.5</v>
      </c>
      <c r="L974" s="2">
        <v>0</v>
      </c>
      <c r="M974" s="2">
        <v>810</v>
      </c>
    </row>
    <row r="975" spans="1:13" x14ac:dyDescent="0.2">
      <c r="A975" s="2" t="s">
        <v>793</v>
      </c>
      <c r="B975" s="2" t="s">
        <v>794</v>
      </c>
      <c r="C975" s="2" t="s">
        <v>19</v>
      </c>
      <c r="D975" s="2" t="s">
        <v>52</v>
      </c>
      <c r="E975" s="2" t="s">
        <v>4128</v>
      </c>
      <c r="F975" s="5"/>
      <c r="G975" s="4">
        <v>0</v>
      </c>
      <c r="H975" s="4"/>
      <c r="I975" s="2" t="s">
        <v>35</v>
      </c>
      <c r="J975" s="2">
        <v>540</v>
      </c>
      <c r="K975" s="2">
        <v>1.5</v>
      </c>
      <c r="L975" s="2">
        <v>0</v>
      </c>
      <c r="M975" s="2">
        <v>810</v>
      </c>
    </row>
    <row r="976" spans="1:13" x14ac:dyDescent="0.2">
      <c r="A976" s="2" t="s">
        <v>515</v>
      </c>
      <c r="B976" s="2" t="s">
        <v>516</v>
      </c>
      <c r="C976" s="2" t="s">
        <v>94</v>
      </c>
      <c r="D976" s="2" t="s">
        <v>52</v>
      </c>
      <c r="E976" s="2" t="s">
        <v>4128</v>
      </c>
      <c r="F976" s="5"/>
      <c r="G976" s="4">
        <v>0</v>
      </c>
      <c r="H976" s="4"/>
      <c r="I976" s="2" t="s">
        <v>35</v>
      </c>
      <c r="J976" s="2">
        <v>540</v>
      </c>
      <c r="K976" s="2">
        <v>1.5</v>
      </c>
      <c r="L976" s="2">
        <v>810</v>
      </c>
      <c r="M976" s="2">
        <v>0</v>
      </c>
    </row>
    <row r="977" spans="1:13" x14ac:dyDescent="0.2">
      <c r="A977" s="2" t="s">
        <v>831</v>
      </c>
      <c r="B977" s="2" t="s">
        <v>832</v>
      </c>
      <c r="C977" s="2" t="s">
        <v>19</v>
      </c>
      <c r="D977" s="2" t="s">
        <v>52</v>
      </c>
      <c r="E977" s="2" t="s">
        <v>4128</v>
      </c>
      <c r="F977" s="5"/>
      <c r="G977" s="4">
        <v>0</v>
      </c>
      <c r="H977" s="4"/>
      <c r="I977" s="2" t="s">
        <v>35</v>
      </c>
      <c r="J977" s="2">
        <v>540</v>
      </c>
      <c r="K977" s="2">
        <v>1.5</v>
      </c>
      <c r="L977" s="2">
        <v>0</v>
      </c>
      <c r="M977" s="2">
        <v>810</v>
      </c>
    </row>
    <row r="978" spans="1:13" x14ac:dyDescent="0.2">
      <c r="A978" s="2" t="s">
        <v>3812</v>
      </c>
      <c r="B978" s="2" t="s">
        <v>3813</v>
      </c>
      <c r="C978" s="2" t="s">
        <v>4125</v>
      </c>
      <c r="D978" s="2" t="s">
        <v>52</v>
      </c>
      <c r="E978" s="2" t="s">
        <v>4128</v>
      </c>
      <c r="F978" s="5"/>
      <c r="G978" s="4">
        <v>0</v>
      </c>
      <c r="H978" s="4"/>
      <c r="I978" s="2" t="s">
        <v>35</v>
      </c>
      <c r="J978" s="2">
        <v>540</v>
      </c>
      <c r="K978" s="2">
        <v>1.5</v>
      </c>
      <c r="L978" s="2">
        <v>0</v>
      </c>
      <c r="M978" s="2">
        <v>810</v>
      </c>
    </row>
    <row r="979" spans="1:13" x14ac:dyDescent="0.2">
      <c r="A979" s="2" t="s">
        <v>581</v>
      </c>
      <c r="B979" s="2" t="s">
        <v>582</v>
      </c>
      <c r="C979" s="2" t="s">
        <v>54</v>
      </c>
      <c r="D979" s="2" t="s">
        <v>52</v>
      </c>
      <c r="E979" s="2" t="s">
        <v>4128</v>
      </c>
      <c r="F979" s="5">
        <v>45881</v>
      </c>
      <c r="G979" s="4">
        <v>4200</v>
      </c>
      <c r="H979" s="4"/>
      <c r="I979" s="2" t="s">
        <v>35</v>
      </c>
      <c r="J979" s="2">
        <v>540</v>
      </c>
      <c r="K979" s="2">
        <v>1.5</v>
      </c>
      <c r="L979" s="2">
        <v>810</v>
      </c>
      <c r="M979" s="2">
        <v>0</v>
      </c>
    </row>
    <row r="980" spans="1:13" x14ac:dyDescent="0.2">
      <c r="A980" s="2" t="s">
        <v>4086</v>
      </c>
      <c r="B980" s="2" t="s">
        <v>4087</v>
      </c>
      <c r="C980" s="2" t="s">
        <v>54</v>
      </c>
      <c r="D980" s="2" t="s">
        <v>52</v>
      </c>
      <c r="E980" s="2" t="s">
        <v>4128</v>
      </c>
      <c r="F980" s="5"/>
      <c r="G980" s="4">
        <v>0</v>
      </c>
      <c r="H980" s="4"/>
      <c r="I980" s="2" t="s">
        <v>35</v>
      </c>
      <c r="J980" s="2">
        <v>540</v>
      </c>
      <c r="K980" s="2">
        <v>1.5</v>
      </c>
      <c r="L980" s="2">
        <v>0</v>
      </c>
      <c r="M980" s="2">
        <v>810</v>
      </c>
    </row>
    <row r="981" spans="1:13" x14ac:dyDescent="0.2">
      <c r="A981" s="2" t="s">
        <v>1155</v>
      </c>
      <c r="B981" s="2" t="s">
        <v>1156</v>
      </c>
      <c r="C981" s="2" t="s">
        <v>94</v>
      </c>
      <c r="D981" s="2" t="s">
        <v>52</v>
      </c>
      <c r="E981" s="2" t="s">
        <v>4128</v>
      </c>
      <c r="F981" s="5"/>
      <c r="G981" s="4">
        <v>0</v>
      </c>
      <c r="H981" s="4"/>
      <c r="I981" s="2" t="s">
        <v>35</v>
      </c>
      <c r="J981" s="2">
        <v>540</v>
      </c>
      <c r="K981" s="2">
        <v>1.5</v>
      </c>
      <c r="L981" s="2">
        <v>210</v>
      </c>
      <c r="M981" s="2">
        <v>600</v>
      </c>
    </row>
    <row r="982" spans="1:13" x14ac:dyDescent="0.2">
      <c r="A982" s="2" t="s">
        <v>1099</v>
      </c>
      <c r="B982" s="2" t="s">
        <v>1100</v>
      </c>
      <c r="C982" s="2" t="s">
        <v>19</v>
      </c>
      <c r="D982" s="2" t="s">
        <v>52</v>
      </c>
      <c r="E982" s="2" t="s">
        <v>4128</v>
      </c>
      <c r="F982" s="5"/>
      <c r="G982" s="4">
        <v>0</v>
      </c>
      <c r="H982" s="4"/>
      <c r="I982" s="2" t="s">
        <v>35</v>
      </c>
      <c r="J982" s="2">
        <v>540</v>
      </c>
      <c r="K982" s="2">
        <v>1.5</v>
      </c>
      <c r="L982" s="2">
        <v>210</v>
      </c>
      <c r="M982" s="2">
        <v>600</v>
      </c>
    </row>
    <row r="983" spans="1:13" x14ac:dyDescent="0.2">
      <c r="A983" s="2" t="s">
        <v>3814</v>
      </c>
      <c r="B983" s="2" t="s">
        <v>3815</v>
      </c>
      <c r="C983" s="2" t="s">
        <v>7</v>
      </c>
      <c r="D983" s="2" t="s">
        <v>52</v>
      </c>
      <c r="E983" s="2" t="s">
        <v>4128</v>
      </c>
      <c r="F983" s="5"/>
      <c r="G983" s="4">
        <v>0</v>
      </c>
      <c r="H983" s="4"/>
      <c r="I983" s="2" t="s">
        <v>35</v>
      </c>
      <c r="J983" s="2">
        <v>540</v>
      </c>
      <c r="K983" s="2">
        <v>1.5</v>
      </c>
      <c r="L983" s="2">
        <v>0</v>
      </c>
      <c r="M983" s="2">
        <v>810</v>
      </c>
    </row>
    <row r="984" spans="1:13" x14ac:dyDescent="0.2">
      <c r="A984" s="4" t="s">
        <v>495</v>
      </c>
      <c r="B984" s="4" t="s">
        <v>496</v>
      </c>
      <c r="C984" s="4" t="s">
        <v>4124</v>
      </c>
      <c r="D984" s="4" t="s">
        <v>52</v>
      </c>
      <c r="E984" s="4" t="s">
        <v>88</v>
      </c>
      <c r="F984" s="5"/>
      <c r="G984" s="4">
        <v>0</v>
      </c>
      <c r="H984" s="4"/>
      <c r="I984" s="4" t="s">
        <v>35</v>
      </c>
      <c r="J984" s="4">
        <v>540</v>
      </c>
      <c r="K984" s="4">
        <v>1.5</v>
      </c>
      <c r="L984" s="4">
        <v>810</v>
      </c>
      <c r="M984" s="4">
        <v>0</v>
      </c>
    </row>
    <row r="985" spans="1:13" x14ac:dyDescent="0.2">
      <c r="A985" s="4" t="s">
        <v>573</v>
      </c>
      <c r="B985" s="4" t="s">
        <v>574</v>
      </c>
      <c r="C985" s="4" t="s">
        <v>4124</v>
      </c>
      <c r="D985" s="4" t="s">
        <v>52</v>
      </c>
      <c r="E985" s="4" t="s">
        <v>88</v>
      </c>
      <c r="F985" s="5"/>
      <c r="G985" s="4">
        <v>0</v>
      </c>
      <c r="H985" s="4"/>
      <c r="I985" s="4" t="s">
        <v>35</v>
      </c>
      <c r="J985" s="4">
        <v>540</v>
      </c>
      <c r="K985" s="4">
        <v>1.5</v>
      </c>
      <c r="L985" s="4">
        <v>810</v>
      </c>
      <c r="M985" s="4">
        <v>0</v>
      </c>
    </row>
    <row r="986" spans="1:13" x14ac:dyDescent="0.2">
      <c r="A986" s="2" t="s">
        <v>1307</v>
      </c>
      <c r="B986" s="2" t="s">
        <v>1308</v>
      </c>
      <c r="C986" s="2" t="s">
        <v>592</v>
      </c>
      <c r="D986" s="2" t="s">
        <v>52</v>
      </c>
      <c r="E986" s="2" t="s">
        <v>4128</v>
      </c>
      <c r="F986" s="5"/>
      <c r="G986" s="4">
        <v>0</v>
      </c>
      <c r="H986" s="4"/>
      <c r="I986" s="2" t="s">
        <v>1378</v>
      </c>
      <c r="J986" s="2">
        <v>540</v>
      </c>
      <c r="K986" s="2">
        <v>1.5</v>
      </c>
      <c r="L986" s="2">
        <v>600</v>
      </c>
      <c r="M986" s="2">
        <v>210</v>
      </c>
    </row>
    <row r="987" spans="1:13" x14ac:dyDescent="0.2">
      <c r="A987" s="2" t="s">
        <v>1325</v>
      </c>
      <c r="B987" s="2" t="s">
        <v>1326</v>
      </c>
      <c r="C987" s="2" t="s">
        <v>7</v>
      </c>
      <c r="D987" s="2" t="s">
        <v>52</v>
      </c>
      <c r="E987" s="2" t="s">
        <v>4128</v>
      </c>
      <c r="F987" s="5"/>
      <c r="G987" s="4">
        <v>0</v>
      </c>
      <c r="H987" s="4"/>
      <c r="I987" s="2" t="s">
        <v>1378</v>
      </c>
      <c r="J987" s="2">
        <v>540</v>
      </c>
      <c r="K987" s="2">
        <v>1.5</v>
      </c>
      <c r="L987" s="2">
        <v>810</v>
      </c>
      <c r="M987" s="2">
        <v>0</v>
      </c>
    </row>
    <row r="988" spans="1:13" x14ac:dyDescent="0.2">
      <c r="A988" s="2" t="s">
        <v>143</v>
      </c>
      <c r="B988" s="2" t="s">
        <v>144</v>
      </c>
      <c r="C988" s="2" t="s">
        <v>94</v>
      </c>
      <c r="D988" s="2" t="s">
        <v>52</v>
      </c>
      <c r="E988" s="2" t="s">
        <v>4128</v>
      </c>
      <c r="F988" s="5"/>
      <c r="G988" s="4">
        <v>0</v>
      </c>
      <c r="H988" s="4"/>
      <c r="I988" s="2" t="s">
        <v>4117</v>
      </c>
      <c r="J988" s="2">
        <v>540</v>
      </c>
      <c r="K988" s="2">
        <v>1.5</v>
      </c>
      <c r="L988" s="2">
        <v>810</v>
      </c>
      <c r="M988" s="2">
        <v>0</v>
      </c>
    </row>
    <row r="989" spans="1:13" x14ac:dyDescent="0.2">
      <c r="A989" s="2" t="s">
        <v>1055</v>
      </c>
      <c r="B989" s="2" t="s">
        <v>1056</v>
      </c>
      <c r="C989" s="2" t="s">
        <v>19</v>
      </c>
      <c r="D989" s="2" t="s">
        <v>52</v>
      </c>
      <c r="E989" s="2" t="s">
        <v>4128</v>
      </c>
      <c r="F989" s="5"/>
      <c r="G989" s="4">
        <v>0</v>
      </c>
      <c r="H989" s="4"/>
      <c r="I989" s="2" t="s">
        <v>4117</v>
      </c>
      <c r="J989" s="2">
        <v>540</v>
      </c>
      <c r="K989" s="2">
        <v>1.5</v>
      </c>
      <c r="L989" s="2">
        <v>210</v>
      </c>
      <c r="M989" s="2">
        <v>600</v>
      </c>
    </row>
    <row r="990" spans="1:13" x14ac:dyDescent="0.2">
      <c r="A990" s="2" t="s">
        <v>1359</v>
      </c>
      <c r="B990" s="2" t="s">
        <v>1360</v>
      </c>
      <c r="C990" s="2" t="s">
        <v>91</v>
      </c>
      <c r="D990" s="2" t="s">
        <v>52</v>
      </c>
      <c r="E990" s="2" t="s">
        <v>4128</v>
      </c>
      <c r="F990" s="5"/>
      <c r="G990" s="4">
        <v>0</v>
      </c>
      <c r="H990" s="4"/>
      <c r="I990" s="2" t="s">
        <v>4117</v>
      </c>
      <c r="J990" s="2">
        <v>540</v>
      </c>
      <c r="K990" s="2">
        <v>1.5</v>
      </c>
      <c r="L990" s="2">
        <v>810</v>
      </c>
      <c r="M990" s="2">
        <v>0</v>
      </c>
    </row>
    <row r="991" spans="1:13" x14ac:dyDescent="0.2">
      <c r="A991" s="2" t="s">
        <v>1295</v>
      </c>
      <c r="B991" s="2" t="s">
        <v>1296</v>
      </c>
      <c r="C991" s="2" t="s">
        <v>1366</v>
      </c>
      <c r="D991" s="2" t="s">
        <v>52</v>
      </c>
      <c r="E991" s="2" t="s">
        <v>4128</v>
      </c>
      <c r="F991" s="5"/>
      <c r="G991" s="4">
        <v>0</v>
      </c>
      <c r="H991" s="4"/>
      <c r="I991" s="2" t="s">
        <v>1379</v>
      </c>
      <c r="J991" s="2">
        <v>540</v>
      </c>
      <c r="K991" s="2">
        <v>1.5</v>
      </c>
      <c r="L991" s="2">
        <v>600</v>
      </c>
      <c r="M991" s="2">
        <v>210</v>
      </c>
    </row>
    <row r="992" spans="1:13" x14ac:dyDescent="0.2">
      <c r="A992" s="2" t="s">
        <v>1089</v>
      </c>
      <c r="B992" s="2" t="s">
        <v>1090</v>
      </c>
      <c r="C992" s="2" t="s">
        <v>91</v>
      </c>
      <c r="D992" s="2" t="s">
        <v>52</v>
      </c>
      <c r="E992" s="2" t="s">
        <v>4128</v>
      </c>
      <c r="F992" s="5"/>
      <c r="G992" s="4">
        <v>0</v>
      </c>
      <c r="H992" s="4"/>
      <c r="I992" s="2" t="s">
        <v>1379</v>
      </c>
      <c r="J992" s="2">
        <v>540</v>
      </c>
      <c r="K992" s="2">
        <v>1.5</v>
      </c>
      <c r="L992" s="2">
        <v>210</v>
      </c>
      <c r="M992" s="2">
        <v>600</v>
      </c>
    </row>
    <row r="993" spans="1:13" x14ac:dyDescent="0.2">
      <c r="A993" s="2" t="s">
        <v>1337</v>
      </c>
      <c r="B993" s="2" t="s">
        <v>1338</v>
      </c>
      <c r="C993" s="2" t="s">
        <v>91</v>
      </c>
      <c r="D993" s="2" t="s">
        <v>52</v>
      </c>
      <c r="E993" s="2" t="s">
        <v>4128</v>
      </c>
      <c r="F993" s="5"/>
      <c r="G993" s="4">
        <v>0</v>
      </c>
      <c r="H993" s="4"/>
      <c r="I993" s="2" t="s">
        <v>4118</v>
      </c>
      <c r="J993" s="2">
        <v>540</v>
      </c>
      <c r="K993" s="2">
        <v>1.5</v>
      </c>
      <c r="L993" s="2">
        <v>810</v>
      </c>
      <c r="M993" s="2">
        <v>0</v>
      </c>
    </row>
    <row r="994" spans="1:13" x14ac:dyDescent="0.2">
      <c r="A994" s="2" t="s">
        <v>561</v>
      </c>
      <c r="B994" s="2" t="s">
        <v>562</v>
      </c>
      <c r="C994" s="2" t="s">
        <v>7</v>
      </c>
      <c r="D994" s="2" t="s">
        <v>52</v>
      </c>
      <c r="E994" s="2" t="s">
        <v>4128</v>
      </c>
      <c r="F994" s="5"/>
      <c r="G994" s="4">
        <v>0</v>
      </c>
      <c r="H994" s="4"/>
      <c r="I994" s="2" t="s">
        <v>4119</v>
      </c>
      <c r="J994" s="2">
        <v>540</v>
      </c>
      <c r="K994" s="2">
        <v>1.5</v>
      </c>
      <c r="L994" s="2">
        <v>810</v>
      </c>
      <c r="M994" s="2">
        <v>0</v>
      </c>
    </row>
    <row r="995" spans="1:13" x14ac:dyDescent="0.2">
      <c r="A995" s="2" t="s">
        <v>3816</v>
      </c>
      <c r="B995" s="2" t="s">
        <v>3817</v>
      </c>
      <c r="C995" s="2" t="s">
        <v>1366</v>
      </c>
      <c r="D995" s="2" t="s">
        <v>52</v>
      </c>
      <c r="E995" s="2" t="s">
        <v>4128</v>
      </c>
      <c r="F995" s="5"/>
      <c r="G995" s="4">
        <v>0</v>
      </c>
      <c r="H995" s="4"/>
      <c r="I995" s="2" t="s">
        <v>4120</v>
      </c>
      <c r="J995" s="2">
        <v>540</v>
      </c>
      <c r="K995" s="2">
        <v>1.5</v>
      </c>
      <c r="L995" s="2">
        <v>0</v>
      </c>
      <c r="M995" s="2">
        <v>810</v>
      </c>
    </row>
    <row r="996" spans="1:13" x14ac:dyDescent="0.2">
      <c r="A996" s="4" t="s">
        <v>407</v>
      </c>
      <c r="B996" s="4" t="s">
        <v>408</v>
      </c>
      <c r="C996" s="4" t="s">
        <v>4124</v>
      </c>
      <c r="D996" s="4" t="s">
        <v>52</v>
      </c>
      <c r="E996" s="4" t="s">
        <v>88</v>
      </c>
      <c r="F996" s="5"/>
      <c r="G996" s="4">
        <v>0</v>
      </c>
      <c r="H996" s="4"/>
      <c r="I996" s="4" t="s">
        <v>4121</v>
      </c>
      <c r="J996" s="4">
        <v>540</v>
      </c>
      <c r="K996" s="4">
        <v>1.5</v>
      </c>
      <c r="L996" s="4">
        <v>810</v>
      </c>
      <c r="M996" s="4">
        <v>0</v>
      </c>
    </row>
    <row r="997" spans="1:13" x14ac:dyDescent="0.2">
      <c r="A997" s="2" t="s">
        <v>703</v>
      </c>
      <c r="B997" s="2" t="s">
        <v>704</v>
      </c>
      <c r="C997" s="2" t="s">
        <v>1366</v>
      </c>
      <c r="D997" s="2" t="s">
        <v>52</v>
      </c>
      <c r="E997" s="2" t="s">
        <v>4128</v>
      </c>
      <c r="F997" s="5"/>
      <c r="G997" s="4">
        <v>0</v>
      </c>
      <c r="H997" s="4"/>
      <c r="I997" s="2" t="s">
        <v>4122</v>
      </c>
      <c r="J997" s="2">
        <v>540</v>
      </c>
      <c r="K997" s="2">
        <v>1.5</v>
      </c>
      <c r="L997" s="2">
        <v>0</v>
      </c>
      <c r="M997" s="2">
        <v>810</v>
      </c>
    </row>
    <row r="998" spans="1:13" x14ac:dyDescent="0.2">
      <c r="A998" s="2" t="s">
        <v>1157</v>
      </c>
      <c r="B998" s="2" t="s">
        <v>1158</v>
      </c>
      <c r="C998" s="2" t="s">
        <v>4125</v>
      </c>
      <c r="D998" s="2" t="s">
        <v>52</v>
      </c>
      <c r="E998" s="2" t="s">
        <v>4128</v>
      </c>
      <c r="F998" s="5"/>
      <c r="G998" s="4">
        <v>0</v>
      </c>
      <c r="H998" s="4"/>
      <c r="I998" s="2" t="s">
        <v>4122</v>
      </c>
      <c r="J998" s="2">
        <v>540</v>
      </c>
      <c r="K998" s="2">
        <v>1.5</v>
      </c>
      <c r="L998" s="2">
        <v>210</v>
      </c>
      <c r="M998" s="2">
        <v>600</v>
      </c>
    </row>
    <row r="999" spans="1:13" x14ac:dyDescent="0.2">
      <c r="A999" s="2" t="s">
        <v>333</v>
      </c>
      <c r="B999" s="2" t="s">
        <v>334</v>
      </c>
      <c r="C999" s="2" t="s">
        <v>7</v>
      </c>
      <c r="D999" s="2" t="s">
        <v>52</v>
      </c>
      <c r="E999" s="2" t="s">
        <v>4128</v>
      </c>
      <c r="F999" s="5"/>
      <c r="G999" s="4">
        <v>0</v>
      </c>
      <c r="H999" s="4"/>
      <c r="I999" s="2" t="s">
        <v>4122</v>
      </c>
      <c r="J999" s="2">
        <v>540</v>
      </c>
      <c r="K999" s="2">
        <v>1.5</v>
      </c>
      <c r="L999" s="2">
        <v>810</v>
      </c>
      <c r="M999" s="2">
        <v>0</v>
      </c>
    </row>
    <row r="1000" spans="1:13" x14ac:dyDescent="0.2">
      <c r="A1000" s="2" t="s">
        <v>587</v>
      </c>
      <c r="B1000" s="2" t="s">
        <v>588</v>
      </c>
      <c r="C1000" s="2" t="s">
        <v>54</v>
      </c>
      <c r="D1000" s="2" t="s">
        <v>52</v>
      </c>
      <c r="E1000" s="2" t="s">
        <v>4128</v>
      </c>
      <c r="F1000" s="5"/>
      <c r="G1000" s="4">
        <v>0</v>
      </c>
      <c r="H1000" s="4"/>
      <c r="I1000" s="2" t="s">
        <v>1380</v>
      </c>
      <c r="J1000" s="2">
        <v>540</v>
      </c>
      <c r="K1000" s="2">
        <v>1.5</v>
      </c>
      <c r="L1000" s="2">
        <v>810</v>
      </c>
      <c r="M1000" s="2">
        <v>0</v>
      </c>
    </row>
    <row r="1001" spans="1:13" x14ac:dyDescent="0.2">
      <c r="A1001" s="2" t="s">
        <v>1349</v>
      </c>
      <c r="B1001" s="2" t="s">
        <v>1350</v>
      </c>
      <c r="C1001" s="2" t="s">
        <v>91</v>
      </c>
      <c r="D1001" s="2" t="s">
        <v>52</v>
      </c>
      <c r="E1001" s="2" t="s">
        <v>4128</v>
      </c>
      <c r="F1001" s="5"/>
      <c r="G1001" s="4">
        <v>0</v>
      </c>
      <c r="H1001" s="4"/>
      <c r="I1001" s="2" t="s">
        <v>105</v>
      </c>
      <c r="J1001" s="2">
        <v>540</v>
      </c>
      <c r="K1001" s="2">
        <v>1.5</v>
      </c>
      <c r="L1001" s="2">
        <v>810</v>
      </c>
      <c r="M1001" s="2">
        <v>0</v>
      </c>
    </row>
    <row r="1002" spans="1:13" x14ac:dyDescent="0.2">
      <c r="A1002" s="2" t="s">
        <v>1363</v>
      </c>
      <c r="B1002" s="2" t="s">
        <v>1364</v>
      </c>
      <c r="C1002" s="2" t="s">
        <v>1366</v>
      </c>
      <c r="D1002" s="2" t="s">
        <v>52</v>
      </c>
      <c r="E1002" s="2" t="s">
        <v>4128</v>
      </c>
      <c r="F1002" s="5"/>
      <c r="G1002" s="4">
        <v>0</v>
      </c>
      <c r="H1002" s="4"/>
      <c r="I1002" s="2" t="s">
        <v>4123</v>
      </c>
      <c r="J1002" s="2">
        <v>540</v>
      </c>
      <c r="K1002" s="2">
        <v>1.5</v>
      </c>
      <c r="L1002" s="2">
        <v>810</v>
      </c>
      <c r="M1002" s="2">
        <v>0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DA87E-BF9F-46AA-AA40-16B9DBD5A27F}">
  <dimension ref="A1:K660"/>
  <sheetViews>
    <sheetView workbookViewId="0">
      <selection sqref="A1:F21"/>
    </sheetView>
  </sheetViews>
  <sheetFormatPr defaultColWidth="9.140625" defaultRowHeight="11.25" x14ac:dyDescent="0.2"/>
  <cols>
    <col min="1" max="1" width="29.7109375" style="2" bestFit="1" customWidth="1"/>
    <col min="2" max="2" width="11.85546875" style="7" bestFit="1" customWidth="1"/>
    <col min="3" max="3" width="14.7109375" style="7" bestFit="1" customWidth="1"/>
    <col min="4" max="6" width="8.140625" style="7" customWidth="1"/>
    <col min="7" max="7" width="14" style="7" bestFit="1" customWidth="1"/>
    <col min="8" max="8" width="10.85546875" style="21" customWidth="1"/>
    <col min="9" max="9" width="9.140625" style="21"/>
    <col min="10" max="10" width="9.140625" style="7"/>
    <col min="11" max="11" width="67.140625" style="2" bestFit="1" customWidth="1"/>
    <col min="12" max="16384" width="9.140625" style="2"/>
  </cols>
  <sheetData>
    <row r="1" spans="1:11" x14ac:dyDescent="0.2">
      <c r="A1" s="1" t="s">
        <v>5</v>
      </c>
      <c r="B1" s="15" t="s">
        <v>55</v>
      </c>
      <c r="C1" s="15" t="s">
        <v>108</v>
      </c>
      <c r="D1" s="15" t="s">
        <v>56</v>
      </c>
      <c r="E1" s="15" t="s">
        <v>98</v>
      </c>
      <c r="F1" s="15" t="s">
        <v>20</v>
      </c>
      <c r="G1" s="15" t="s">
        <v>89</v>
      </c>
      <c r="H1" s="20" t="s">
        <v>10</v>
      </c>
      <c r="I1" s="20" t="s">
        <v>80</v>
      </c>
      <c r="J1" s="22" t="s">
        <v>81</v>
      </c>
      <c r="K1" s="22" t="s">
        <v>4130</v>
      </c>
    </row>
    <row r="2" spans="1:11" x14ac:dyDescent="0.2">
      <c r="A2" s="2" t="s">
        <v>1365</v>
      </c>
      <c r="B2" s="7">
        <v>123</v>
      </c>
      <c r="C2" s="7">
        <v>1</v>
      </c>
      <c r="D2" s="7">
        <f t="shared" ref="D2:D19" si="0">B2-C2</f>
        <v>122</v>
      </c>
      <c r="E2" s="7">
        <f>VLOOKUP(A2,'[1]Controle Diário Produção'!$B$12:$F$34,5,0)</f>
        <v>70</v>
      </c>
      <c r="F2" s="11">
        <f t="shared" ref="F2:F21" si="1">D2/E2</f>
        <v>1.7428571428571429</v>
      </c>
      <c r="G2" s="7">
        <f t="shared" ref="G2:G21" si="2">IF(F2&gt;=120%, 1.2, IF(F2&gt;=110%, 1.1, 1))</f>
        <v>1.2</v>
      </c>
      <c r="H2" s="21">
        <f t="shared" ref="H2:H21" si="3">IF(F2&gt;=120%,D2*(9*1.2),IF(F2&gt;=110%,D2*(9*1.1),IF(F2&gt;=100%,D2*9,IF(F2&gt;=90%,D2*7,IF(F2&gt;=80%,D2*5,"")))))</f>
        <v>1317.6</v>
      </c>
      <c r="I2" s="21">
        <f>1900/2</f>
        <v>950</v>
      </c>
      <c r="J2" s="21">
        <f t="shared" ref="J2:J21" si="4">SUM(H2:I2)</f>
        <v>2267.6</v>
      </c>
      <c r="K2" s="2" t="s">
        <v>4140</v>
      </c>
    </row>
    <row r="3" spans="1:11" x14ac:dyDescent="0.2">
      <c r="A3" s="2" t="s">
        <v>96</v>
      </c>
      <c r="B3" s="7">
        <v>124</v>
      </c>
      <c r="C3" s="7">
        <v>2</v>
      </c>
      <c r="D3" s="7">
        <f t="shared" si="0"/>
        <v>122</v>
      </c>
      <c r="E3" s="7">
        <f>VLOOKUP(A3,'[1]Controle Diário Produção'!$B$12:$F$34,5,0)</f>
        <v>70</v>
      </c>
      <c r="F3" s="11">
        <f t="shared" si="1"/>
        <v>1.7428571428571429</v>
      </c>
      <c r="G3" s="7">
        <f t="shared" si="2"/>
        <v>1.2</v>
      </c>
      <c r="H3" s="21">
        <f t="shared" si="3"/>
        <v>1317.6</v>
      </c>
      <c r="I3" s="21">
        <f>1900/2</f>
        <v>950</v>
      </c>
      <c r="J3" s="21">
        <f t="shared" si="4"/>
        <v>2267.6</v>
      </c>
      <c r="K3" s="2" t="s">
        <v>4140</v>
      </c>
    </row>
    <row r="4" spans="1:11" x14ac:dyDescent="0.2">
      <c r="A4" s="2" t="s">
        <v>3895</v>
      </c>
      <c r="B4" s="7">
        <v>117</v>
      </c>
      <c r="C4" s="7">
        <v>6</v>
      </c>
      <c r="D4" s="7">
        <f t="shared" si="0"/>
        <v>111</v>
      </c>
      <c r="E4" s="7">
        <f>VLOOKUP(A4,'[1]Controle Diário Produção'!$B$12:$F$34,5,0)</f>
        <v>70</v>
      </c>
      <c r="F4" s="11">
        <f t="shared" si="1"/>
        <v>1.5857142857142856</v>
      </c>
      <c r="G4" s="7">
        <f t="shared" si="2"/>
        <v>1.2</v>
      </c>
      <c r="H4" s="21">
        <f t="shared" si="3"/>
        <v>1198.8</v>
      </c>
      <c r="I4" s="21">
        <v>700</v>
      </c>
      <c r="J4" s="21">
        <f t="shared" si="4"/>
        <v>1898.8</v>
      </c>
      <c r="K4" s="2" t="s">
        <v>4138</v>
      </c>
    </row>
    <row r="5" spans="1:11" x14ac:dyDescent="0.2">
      <c r="A5" s="2" t="s">
        <v>58</v>
      </c>
      <c r="B5" s="7">
        <v>92</v>
      </c>
      <c r="C5" s="7">
        <v>1</v>
      </c>
      <c r="D5" s="7">
        <f t="shared" si="0"/>
        <v>91</v>
      </c>
      <c r="E5" s="7">
        <f>VLOOKUP(A5,'[1]Controle Diário Produção'!$B$12:$F$34,5,0)</f>
        <v>70</v>
      </c>
      <c r="F5" s="11">
        <f t="shared" si="1"/>
        <v>1.3</v>
      </c>
      <c r="G5" s="7">
        <f t="shared" si="2"/>
        <v>1.2</v>
      </c>
      <c r="H5" s="21">
        <f t="shared" si="3"/>
        <v>982.8</v>
      </c>
      <c r="I5" s="21">
        <v>500</v>
      </c>
      <c r="J5" s="21">
        <f t="shared" si="4"/>
        <v>1482.8</v>
      </c>
      <c r="K5" s="2" t="s">
        <v>4139</v>
      </c>
    </row>
    <row r="6" spans="1:11" x14ac:dyDescent="0.2">
      <c r="A6" s="2" t="s">
        <v>97</v>
      </c>
      <c r="B6" s="7">
        <v>85</v>
      </c>
      <c r="D6" s="7">
        <f t="shared" si="0"/>
        <v>85</v>
      </c>
      <c r="E6" s="7">
        <f>VLOOKUP(A6,'[1]Controle Diário Produção'!$B$12:$F$34,5,0)</f>
        <v>70</v>
      </c>
      <c r="F6" s="11">
        <f t="shared" si="1"/>
        <v>1.2142857142857142</v>
      </c>
      <c r="G6" s="7">
        <f t="shared" si="2"/>
        <v>1.2</v>
      </c>
      <c r="H6" s="21">
        <f t="shared" si="3"/>
        <v>917.99999999999989</v>
      </c>
      <c r="J6" s="21">
        <f t="shared" si="4"/>
        <v>917.99999999999989</v>
      </c>
    </row>
    <row r="7" spans="1:11" x14ac:dyDescent="0.2">
      <c r="A7" s="2" t="s">
        <v>79</v>
      </c>
      <c r="B7" s="7">
        <v>87</v>
      </c>
      <c r="C7" s="7">
        <v>3</v>
      </c>
      <c r="D7" s="7">
        <f t="shared" si="0"/>
        <v>84</v>
      </c>
      <c r="E7" s="7">
        <f>VLOOKUP(A7,'[1]Controle Diário Produção'!$B$12:$F$34,5,0)</f>
        <v>70</v>
      </c>
      <c r="F7" s="11">
        <f t="shared" si="1"/>
        <v>1.2</v>
      </c>
      <c r="G7" s="7">
        <f t="shared" si="2"/>
        <v>1.2</v>
      </c>
      <c r="H7" s="21">
        <f t="shared" si="3"/>
        <v>907.19999999999993</v>
      </c>
      <c r="J7" s="21">
        <f t="shared" si="4"/>
        <v>907.19999999999993</v>
      </c>
    </row>
    <row r="8" spans="1:11" x14ac:dyDescent="0.2">
      <c r="A8" s="2" t="s">
        <v>65</v>
      </c>
      <c r="B8" s="7">
        <v>80</v>
      </c>
      <c r="C8" s="7">
        <v>4</v>
      </c>
      <c r="D8" s="7">
        <f t="shared" si="0"/>
        <v>76</v>
      </c>
      <c r="E8" s="7">
        <f>VLOOKUP(A8,'[1]Controle Diário Produção'!$B$12:$F$34,5,0)</f>
        <v>70</v>
      </c>
      <c r="F8" s="11">
        <f t="shared" si="1"/>
        <v>1.0857142857142856</v>
      </c>
      <c r="G8" s="7">
        <f t="shared" si="2"/>
        <v>1</v>
      </c>
      <c r="H8" s="21">
        <f t="shared" si="3"/>
        <v>684</v>
      </c>
      <c r="J8" s="21">
        <f t="shared" si="4"/>
        <v>684</v>
      </c>
    </row>
    <row r="9" spans="1:11" x14ac:dyDescent="0.2">
      <c r="A9" s="2" t="s">
        <v>6</v>
      </c>
      <c r="B9" s="7">
        <v>69</v>
      </c>
      <c r="C9" s="7">
        <v>2</v>
      </c>
      <c r="D9" s="7">
        <f t="shared" si="0"/>
        <v>67</v>
      </c>
      <c r="E9" s="7">
        <f>VLOOKUP(A9,'[1]Controle Diário Produção'!$B$12:$F$34,5,0)</f>
        <v>70</v>
      </c>
      <c r="F9" s="11">
        <f t="shared" si="1"/>
        <v>0.95714285714285718</v>
      </c>
      <c r="G9" s="7">
        <f t="shared" si="2"/>
        <v>1</v>
      </c>
      <c r="H9" s="21">
        <f t="shared" si="3"/>
        <v>469</v>
      </c>
      <c r="J9" s="21">
        <f t="shared" si="4"/>
        <v>469</v>
      </c>
    </row>
    <row r="10" spans="1:11" x14ac:dyDescent="0.2">
      <c r="A10" s="2" t="s">
        <v>95</v>
      </c>
      <c r="B10" s="7">
        <v>67</v>
      </c>
      <c r="C10" s="7">
        <v>2</v>
      </c>
      <c r="D10" s="7">
        <f t="shared" si="0"/>
        <v>65</v>
      </c>
      <c r="E10" s="7">
        <f>VLOOKUP(A10,'[1]Controle Diário Produção'!$B$12:$F$34,5,0)</f>
        <v>70</v>
      </c>
      <c r="F10" s="11">
        <f t="shared" si="1"/>
        <v>0.9285714285714286</v>
      </c>
      <c r="G10" s="7">
        <f t="shared" si="2"/>
        <v>1</v>
      </c>
      <c r="H10" s="21">
        <f t="shared" si="3"/>
        <v>455</v>
      </c>
      <c r="J10" s="21">
        <f t="shared" si="4"/>
        <v>455</v>
      </c>
    </row>
    <row r="11" spans="1:11" x14ac:dyDescent="0.2">
      <c r="A11" s="2" t="s">
        <v>590</v>
      </c>
      <c r="B11" s="7">
        <v>59</v>
      </c>
      <c r="C11" s="7">
        <v>1</v>
      </c>
      <c r="D11" s="7">
        <f t="shared" si="0"/>
        <v>58</v>
      </c>
      <c r="E11" s="7">
        <f>VLOOKUP(A11,'[1]Controle Diário Produção'!$B$12:$F$34,5,0)</f>
        <v>60</v>
      </c>
      <c r="F11" s="11">
        <f t="shared" si="1"/>
        <v>0.96666666666666667</v>
      </c>
      <c r="G11" s="7">
        <f t="shared" si="2"/>
        <v>1</v>
      </c>
      <c r="H11" s="21">
        <f t="shared" si="3"/>
        <v>406</v>
      </c>
      <c r="J11" s="21">
        <f t="shared" si="4"/>
        <v>406</v>
      </c>
    </row>
    <row r="12" spans="1:11" x14ac:dyDescent="0.2">
      <c r="A12" s="2" t="s">
        <v>593</v>
      </c>
      <c r="B12" s="7">
        <v>53</v>
      </c>
      <c r="C12" s="7">
        <v>2</v>
      </c>
      <c r="D12" s="7">
        <f t="shared" si="0"/>
        <v>51</v>
      </c>
      <c r="E12" s="7">
        <f>VLOOKUP(A12,'[1]Controle Diário Produção'!$B$12:$F$34,5,0)</f>
        <v>60</v>
      </c>
      <c r="F12" s="11">
        <f t="shared" si="1"/>
        <v>0.85</v>
      </c>
      <c r="G12" s="7">
        <f t="shared" si="2"/>
        <v>1</v>
      </c>
      <c r="H12" s="21">
        <f t="shared" si="3"/>
        <v>255</v>
      </c>
      <c r="J12" s="21">
        <f t="shared" si="4"/>
        <v>255</v>
      </c>
    </row>
    <row r="13" spans="1:11" x14ac:dyDescent="0.2">
      <c r="A13" s="2" t="s">
        <v>1367</v>
      </c>
      <c r="B13" s="7">
        <v>50</v>
      </c>
      <c r="D13" s="7">
        <f t="shared" si="0"/>
        <v>50</v>
      </c>
      <c r="E13" s="7">
        <f>VLOOKUP(A13,'[1]Controle Diário Produção'!$B$12:$F$34,5,0)</f>
        <v>50</v>
      </c>
      <c r="F13" s="11">
        <f t="shared" si="1"/>
        <v>1</v>
      </c>
      <c r="G13" s="7">
        <f t="shared" si="2"/>
        <v>1</v>
      </c>
      <c r="H13" s="21">
        <f t="shared" si="3"/>
        <v>450</v>
      </c>
      <c r="J13" s="21">
        <f t="shared" si="4"/>
        <v>450</v>
      </c>
    </row>
    <row r="14" spans="1:11" x14ac:dyDescent="0.2">
      <c r="A14" s="2" t="s">
        <v>591</v>
      </c>
      <c r="B14" s="7">
        <v>46</v>
      </c>
      <c r="C14" s="7">
        <v>2</v>
      </c>
      <c r="D14" s="7">
        <f t="shared" si="0"/>
        <v>44</v>
      </c>
      <c r="E14" s="7">
        <f>VLOOKUP(A14,'[1]Controle Diário Produção'!$B$12:$F$34,5,0)</f>
        <v>60</v>
      </c>
      <c r="F14" s="11">
        <f t="shared" si="1"/>
        <v>0.73333333333333328</v>
      </c>
      <c r="G14" s="7">
        <f t="shared" si="2"/>
        <v>1</v>
      </c>
      <c r="H14" s="21" t="str">
        <f t="shared" si="3"/>
        <v/>
      </c>
      <c r="J14" s="21">
        <f t="shared" si="4"/>
        <v>0</v>
      </c>
    </row>
    <row r="15" spans="1:11" x14ac:dyDescent="0.2">
      <c r="A15" s="2" t="s">
        <v>1368</v>
      </c>
      <c r="B15" s="7">
        <v>25</v>
      </c>
      <c r="D15" s="7">
        <f t="shared" si="0"/>
        <v>25</v>
      </c>
      <c r="E15" s="7">
        <f>VLOOKUP(A15,'[1]Controle Diário Produção'!$B$12:$F$34,5,0)</f>
        <v>50</v>
      </c>
      <c r="F15" s="11">
        <f t="shared" si="1"/>
        <v>0.5</v>
      </c>
      <c r="G15" s="7">
        <f t="shared" si="2"/>
        <v>1</v>
      </c>
      <c r="H15" s="21" t="str">
        <f t="shared" si="3"/>
        <v/>
      </c>
      <c r="J15" s="21">
        <f t="shared" si="4"/>
        <v>0</v>
      </c>
    </row>
    <row r="16" spans="1:11" x14ac:dyDescent="0.2">
      <c r="A16" s="2" t="s">
        <v>3901</v>
      </c>
      <c r="B16" s="7">
        <v>19</v>
      </c>
      <c r="C16" s="7">
        <v>1</v>
      </c>
      <c r="D16" s="7">
        <f t="shared" si="0"/>
        <v>18</v>
      </c>
      <c r="E16" s="7">
        <f>VLOOKUP(A16,'[1]Controle Diário Produção'!$B$12:$F$34,5,0)</f>
        <v>20</v>
      </c>
      <c r="F16" s="11">
        <f t="shared" si="1"/>
        <v>0.9</v>
      </c>
      <c r="G16" s="7">
        <f t="shared" si="2"/>
        <v>1</v>
      </c>
      <c r="H16" s="21">
        <f t="shared" si="3"/>
        <v>126</v>
      </c>
      <c r="J16" s="21">
        <f t="shared" si="4"/>
        <v>126</v>
      </c>
    </row>
    <row r="17" spans="1:10" x14ac:dyDescent="0.2">
      <c r="A17" s="2" t="s">
        <v>594</v>
      </c>
      <c r="B17" s="7">
        <v>17</v>
      </c>
      <c r="D17" s="7">
        <f t="shared" si="0"/>
        <v>17</v>
      </c>
      <c r="E17" s="7">
        <f>VLOOKUP(A17,'[1]Controle Diário Produção'!$B$12:$F$34,5,0)</f>
        <v>60</v>
      </c>
      <c r="F17" s="11">
        <f t="shared" si="1"/>
        <v>0.28333333333333333</v>
      </c>
      <c r="G17" s="7">
        <f t="shared" si="2"/>
        <v>1</v>
      </c>
      <c r="H17" s="21" t="str">
        <f t="shared" si="3"/>
        <v/>
      </c>
      <c r="J17" s="21">
        <f t="shared" si="4"/>
        <v>0</v>
      </c>
    </row>
    <row r="18" spans="1:10" x14ac:dyDescent="0.2">
      <c r="A18" s="2" t="s">
        <v>3899</v>
      </c>
      <c r="B18" s="7">
        <v>13</v>
      </c>
      <c r="D18" s="7">
        <f t="shared" si="0"/>
        <v>13</v>
      </c>
      <c r="E18" s="7">
        <f>VLOOKUP(A18,'[1]Controle Diário Produção'!$B$12:$F$34,5,0)</f>
        <v>20</v>
      </c>
      <c r="F18" s="11">
        <f t="shared" si="1"/>
        <v>0.65</v>
      </c>
      <c r="G18" s="7">
        <f t="shared" si="2"/>
        <v>1</v>
      </c>
      <c r="H18" s="21" t="str">
        <f t="shared" si="3"/>
        <v/>
      </c>
      <c r="J18" s="21">
        <f t="shared" si="4"/>
        <v>0</v>
      </c>
    </row>
    <row r="19" spans="1:10" x14ac:dyDescent="0.2">
      <c r="A19" s="2" t="s">
        <v>3894</v>
      </c>
      <c r="B19" s="7">
        <v>12</v>
      </c>
      <c r="C19" s="7">
        <v>1</v>
      </c>
      <c r="D19" s="7">
        <f t="shared" si="0"/>
        <v>11</v>
      </c>
      <c r="E19" s="7">
        <f>VLOOKUP(A19,'[1]Controle Diário Produção'!$B$12:$F$34,5,0)</f>
        <v>20</v>
      </c>
      <c r="F19" s="11">
        <f t="shared" si="1"/>
        <v>0.55000000000000004</v>
      </c>
      <c r="G19" s="7">
        <f t="shared" si="2"/>
        <v>1</v>
      </c>
      <c r="H19" s="21" t="str">
        <f t="shared" si="3"/>
        <v/>
      </c>
      <c r="J19" s="21">
        <f t="shared" si="4"/>
        <v>0</v>
      </c>
    </row>
    <row r="20" spans="1:10" x14ac:dyDescent="0.2">
      <c r="A20" s="2" t="s">
        <v>1369</v>
      </c>
      <c r="B20" s="7">
        <v>10</v>
      </c>
      <c r="D20" s="7">
        <f>(B20-C20)</f>
        <v>10</v>
      </c>
      <c r="E20" s="7">
        <f>VLOOKUP(A20,'[1]Controle Diário Produção'!$B$12:$F$34,5,0)</f>
        <v>50</v>
      </c>
      <c r="F20" s="11">
        <f t="shared" si="1"/>
        <v>0.2</v>
      </c>
      <c r="G20" s="7">
        <f t="shared" si="2"/>
        <v>1</v>
      </c>
      <c r="H20" s="21" t="str">
        <f t="shared" si="3"/>
        <v/>
      </c>
      <c r="J20" s="21">
        <f t="shared" si="4"/>
        <v>0</v>
      </c>
    </row>
    <row r="21" spans="1:10" x14ac:dyDescent="0.2">
      <c r="A21" s="2" t="s">
        <v>3898</v>
      </c>
      <c r="B21" s="7">
        <v>6</v>
      </c>
      <c r="D21" s="7">
        <f>B21-C21</f>
        <v>6</v>
      </c>
      <c r="E21" s="7">
        <f>VLOOKUP(A21,'[1]Controle Diário Produção'!$B$12:$F$34,5,0)</f>
        <v>20</v>
      </c>
      <c r="F21" s="11">
        <f t="shared" si="1"/>
        <v>0.3</v>
      </c>
      <c r="G21" s="7">
        <f t="shared" si="2"/>
        <v>1</v>
      </c>
      <c r="H21" s="21" t="str">
        <f t="shared" si="3"/>
        <v/>
      </c>
      <c r="J21" s="21">
        <f t="shared" si="4"/>
        <v>0</v>
      </c>
    </row>
    <row r="22" spans="1:10" x14ac:dyDescent="0.2">
      <c r="A22" s="28"/>
      <c r="B22" s="29"/>
      <c r="C22" s="29"/>
      <c r="D22" s="29"/>
      <c r="E22" s="29"/>
      <c r="F22" s="30"/>
      <c r="G22" s="29"/>
      <c r="H22" s="31"/>
      <c r="I22" s="31"/>
      <c r="J22" s="31"/>
    </row>
    <row r="23" spans="1:10" x14ac:dyDescent="0.2">
      <c r="A23" s="2" t="s">
        <v>3896</v>
      </c>
      <c r="B23" s="7">
        <v>56</v>
      </c>
      <c r="C23" s="7">
        <v>3</v>
      </c>
      <c r="D23" s="32">
        <f t="shared" ref="D23:D25" si="5">B23-C23</f>
        <v>53</v>
      </c>
      <c r="F23" s="11"/>
      <c r="J23" s="21"/>
    </row>
    <row r="24" spans="1:10" x14ac:dyDescent="0.2">
      <c r="A24" s="2" t="s">
        <v>595</v>
      </c>
      <c r="B24" s="7">
        <v>10</v>
      </c>
      <c r="D24" s="32">
        <f t="shared" si="5"/>
        <v>10</v>
      </c>
      <c r="F24" s="11"/>
      <c r="J24" s="21"/>
    </row>
    <row r="25" spans="1:10" x14ac:dyDescent="0.2">
      <c r="A25" s="2" t="s">
        <v>59</v>
      </c>
      <c r="B25" s="7">
        <v>29</v>
      </c>
      <c r="C25" s="7">
        <v>2</v>
      </c>
      <c r="D25" s="32">
        <f t="shared" si="5"/>
        <v>27</v>
      </c>
      <c r="F25" s="11"/>
      <c r="J25" s="21"/>
    </row>
    <row r="26" spans="1:10" x14ac:dyDescent="0.2">
      <c r="A26" s="28" t="s">
        <v>4129</v>
      </c>
      <c r="B26" s="29"/>
      <c r="C26" s="29"/>
      <c r="D26" s="29"/>
      <c r="E26" s="29"/>
      <c r="F26" s="30"/>
      <c r="G26" s="29"/>
      <c r="H26" s="31"/>
      <c r="I26" s="31"/>
      <c r="J26" s="31"/>
    </row>
    <row r="27" spans="1:10" x14ac:dyDescent="0.2">
      <c r="A27" s="2" t="s">
        <v>1366</v>
      </c>
      <c r="B27" s="7">
        <v>1</v>
      </c>
      <c r="D27" s="32">
        <f>B27-C27</f>
        <v>1</v>
      </c>
      <c r="F27" s="11"/>
      <c r="H27" s="21">
        <f>D27*10</f>
        <v>10</v>
      </c>
      <c r="J27" s="21">
        <f>SUM(H27:I27)</f>
        <v>10</v>
      </c>
    </row>
    <row r="28" spans="1:10" x14ac:dyDescent="0.2">
      <c r="A28" s="2" t="s">
        <v>66</v>
      </c>
      <c r="B28" s="7">
        <v>3</v>
      </c>
      <c r="D28" s="32">
        <f>B28-C28</f>
        <v>3</v>
      </c>
      <c r="F28" s="11"/>
      <c r="H28" s="21">
        <f>D28*10</f>
        <v>30</v>
      </c>
      <c r="J28" s="21">
        <f>SUM(H28:I28)</f>
        <v>30</v>
      </c>
    </row>
    <row r="29" spans="1:10" x14ac:dyDescent="0.2">
      <c r="A29" s="2" t="s">
        <v>57</v>
      </c>
      <c r="B29" s="7">
        <v>2</v>
      </c>
      <c r="D29" s="32">
        <f>B29-C29</f>
        <v>2</v>
      </c>
      <c r="F29" s="11"/>
      <c r="H29" s="21">
        <f>D29*10</f>
        <v>20</v>
      </c>
      <c r="J29" s="21">
        <f>SUM(H29:I29)</f>
        <v>20</v>
      </c>
    </row>
    <row r="30" spans="1:10" x14ac:dyDescent="0.2">
      <c r="A30" s="2" t="s">
        <v>19</v>
      </c>
      <c r="B30" s="7">
        <v>1</v>
      </c>
      <c r="D30" s="32">
        <f>B30-C30</f>
        <v>1</v>
      </c>
      <c r="F30" s="11"/>
      <c r="H30" s="21">
        <f>D30*10</f>
        <v>10</v>
      </c>
      <c r="J30" s="21">
        <f>SUM(H30:I30)</f>
        <v>10</v>
      </c>
    </row>
    <row r="31" spans="1:10" x14ac:dyDescent="0.2">
      <c r="A31" s="2" t="s">
        <v>94</v>
      </c>
      <c r="B31" s="7">
        <v>2</v>
      </c>
      <c r="D31" s="32">
        <f>B31-C31</f>
        <v>2</v>
      </c>
      <c r="H31" s="21">
        <f>D31*10</f>
        <v>20</v>
      </c>
      <c r="J31" s="21">
        <f>SUM(H31:I31)</f>
        <v>20</v>
      </c>
    </row>
    <row r="42" spans="4:7" x14ac:dyDescent="0.2">
      <c r="E42" s="33"/>
      <c r="G42" s="33"/>
    </row>
    <row r="43" spans="4:7" x14ac:dyDescent="0.2">
      <c r="D43" s="33"/>
    </row>
    <row r="44" spans="4:7" x14ac:dyDescent="0.2">
      <c r="G44" s="33"/>
    </row>
    <row r="63" spans="6:10" x14ac:dyDescent="0.2">
      <c r="F63" s="11"/>
      <c r="J63" s="21"/>
    </row>
    <row r="64" spans="6:10" x14ac:dyDescent="0.2">
      <c r="F64" s="11"/>
      <c r="J64" s="21"/>
    </row>
    <row r="65" spans="1:1" ht="15" x14ac:dyDescent="0.25">
      <c r="A65"/>
    </row>
    <row r="66" spans="1:1" ht="15" x14ac:dyDescent="0.25">
      <c r="A66"/>
    </row>
    <row r="67" spans="1:1" ht="15" x14ac:dyDescent="0.25">
      <c r="A67"/>
    </row>
    <row r="68" spans="1:1" ht="15" x14ac:dyDescent="0.25">
      <c r="A68"/>
    </row>
    <row r="69" spans="1:1" ht="15" x14ac:dyDescent="0.25">
      <c r="A69"/>
    </row>
    <row r="70" spans="1:1" ht="15" x14ac:dyDescent="0.25">
      <c r="A70"/>
    </row>
    <row r="71" spans="1:1" ht="15" x14ac:dyDescent="0.25">
      <c r="A71"/>
    </row>
    <row r="72" spans="1:1" ht="15" x14ac:dyDescent="0.25">
      <c r="A72"/>
    </row>
    <row r="73" spans="1:1" ht="15" x14ac:dyDescent="0.25">
      <c r="A73"/>
    </row>
    <row r="74" spans="1:1" ht="15" x14ac:dyDescent="0.25">
      <c r="A74"/>
    </row>
    <row r="75" spans="1:1" ht="15" x14ac:dyDescent="0.25">
      <c r="A75"/>
    </row>
    <row r="76" spans="1:1" ht="15" x14ac:dyDescent="0.25">
      <c r="A76"/>
    </row>
    <row r="77" spans="1:1" ht="15" x14ac:dyDescent="0.25">
      <c r="A77"/>
    </row>
    <row r="78" spans="1:1" ht="15" x14ac:dyDescent="0.25">
      <c r="A78"/>
    </row>
    <row r="79" spans="1:1" ht="15" x14ac:dyDescent="0.25">
      <c r="A79"/>
    </row>
    <row r="80" spans="1:1" ht="15" x14ac:dyDescent="0.25">
      <c r="A80"/>
    </row>
    <row r="81" spans="1:1" ht="15" x14ac:dyDescent="0.25">
      <c r="A81"/>
    </row>
    <row r="82" spans="1:1" ht="15" x14ac:dyDescent="0.25">
      <c r="A82"/>
    </row>
    <row r="83" spans="1:1" ht="15" x14ac:dyDescent="0.25">
      <c r="A83"/>
    </row>
    <row r="84" spans="1:1" ht="15" x14ac:dyDescent="0.25">
      <c r="A84"/>
    </row>
    <row r="85" spans="1:1" ht="15" x14ac:dyDescent="0.25">
      <c r="A85"/>
    </row>
    <row r="86" spans="1:1" ht="15" x14ac:dyDescent="0.25">
      <c r="A86"/>
    </row>
    <row r="87" spans="1:1" ht="15" x14ac:dyDescent="0.25">
      <c r="A87"/>
    </row>
    <row r="88" spans="1:1" ht="15" x14ac:dyDescent="0.25">
      <c r="A88"/>
    </row>
    <row r="89" spans="1:1" ht="15" x14ac:dyDescent="0.25">
      <c r="A89"/>
    </row>
    <row r="90" spans="1:1" ht="15" x14ac:dyDescent="0.25">
      <c r="A90"/>
    </row>
    <row r="91" spans="1:1" ht="15" x14ac:dyDescent="0.25">
      <c r="A91"/>
    </row>
    <row r="92" spans="1:1" ht="15" x14ac:dyDescent="0.25">
      <c r="A92"/>
    </row>
    <row r="93" spans="1:1" ht="15" x14ac:dyDescent="0.25">
      <c r="A93"/>
    </row>
    <row r="94" spans="1:1" ht="15" x14ac:dyDescent="0.25">
      <c r="A94"/>
    </row>
    <row r="95" spans="1:1" ht="15" x14ac:dyDescent="0.25">
      <c r="A95"/>
    </row>
    <row r="96" spans="1:1" ht="15" x14ac:dyDescent="0.25">
      <c r="A96"/>
    </row>
    <row r="97" spans="1:1" ht="15" x14ac:dyDescent="0.25">
      <c r="A97"/>
    </row>
    <row r="98" spans="1:1" ht="15" x14ac:dyDescent="0.25">
      <c r="A98"/>
    </row>
    <row r="99" spans="1:1" ht="15" x14ac:dyDescent="0.25">
      <c r="A99"/>
    </row>
    <row r="100" spans="1:1" ht="15" x14ac:dyDescent="0.25">
      <c r="A100"/>
    </row>
    <row r="101" spans="1:1" ht="15" x14ac:dyDescent="0.25">
      <c r="A101"/>
    </row>
    <row r="102" spans="1:1" ht="15" x14ac:dyDescent="0.25">
      <c r="A102"/>
    </row>
    <row r="103" spans="1:1" ht="15" x14ac:dyDescent="0.25">
      <c r="A103"/>
    </row>
    <row r="104" spans="1:1" ht="15" x14ac:dyDescent="0.25">
      <c r="A104"/>
    </row>
    <row r="105" spans="1:1" ht="15" x14ac:dyDescent="0.25">
      <c r="A105"/>
    </row>
    <row r="106" spans="1:1" ht="15" x14ac:dyDescent="0.25">
      <c r="A106"/>
    </row>
    <row r="107" spans="1:1" ht="15" x14ac:dyDescent="0.25">
      <c r="A107"/>
    </row>
    <row r="108" spans="1:1" ht="15" x14ac:dyDescent="0.25">
      <c r="A108"/>
    </row>
    <row r="109" spans="1:1" ht="15" x14ac:dyDescent="0.25">
      <c r="A109"/>
    </row>
    <row r="110" spans="1:1" ht="15" x14ac:dyDescent="0.25">
      <c r="A110"/>
    </row>
    <row r="111" spans="1:1" ht="15" x14ac:dyDescent="0.25">
      <c r="A111"/>
    </row>
    <row r="112" spans="1:1" ht="15" x14ac:dyDescent="0.25">
      <c r="A112"/>
    </row>
    <row r="113" spans="1:1" ht="15" x14ac:dyDescent="0.25">
      <c r="A113"/>
    </row>
    <row r="114" spans="1:1" ht="15" x14ac:dyDescent="0.25">
      <c r="A114"/>
    </row>
    <row r="115" spans="1:1" ht="15" x14ac:dyDescent="0.25">
      <c r="A115"/>
    </row>
    <row r="116" spans="1:1" ht="15" x14ac:dyDescent="0.25">
      <c r="A116"/>
    </row>
    <row r="117" spans="1:1" ht="15" x14ac:dyDescent="0.25">
      <c r="A117"/>
    </row>
    <row r="118" spans="1:1" ht="15" x14ac:dyDescent="0.25">
      <c r="A118"/>
    </row>
    <row r="119" spans="1:1" ht="15" x14ac:dyDescent="0.25">
      <c r="A119"/>
    </row>
    <row r="120" spans="1:1" ht="15" x14ac:dyDescent="0.25">
      <c r="A120"/>
    </row>
    <row r="121" spans="1:1" ht="15" x14ac:dyDescent="0.25">
      <c r="A121"/>
    </row>
    <row r="122" spans="1:1" ht="15" x14ac:dyDescent="0.25">
      <c r="A122"/>
    </row>
    <row r="123" spans="1:1" ht="15" x14ac:dyDescent="0.25">
      <c r="A123"/>
    </row>
    <row r="124" spans="1:1" ht="15" x14ac:dyDescent="0.25">
      <c r="A124"/>
    </row>
    <row r="125" spans="1:1" ht="15" x14ac:dyDescent="0.25">
      <c r="A125"/>
    </row>
    <row r="126" spans="1:1" ht="15" x14ac:dyDescent="0.25">
      <c r="A126"/>
    </row>
    <row r="127" spans="1:1" ht="15" x14ac:dyDescent="0.25">
      <c r="A127"/>
    </row>
    <row r="128" spans="1:1" ht="15" x14ac:dyDescent="0.25">
      <c r="A128"/>
    </row>
    <row r="129" spans="1:1" ht="15" x14ac:dyDescent="0.25">
      <c r="A129"/>
    </row>
    <row r="130" spans="1:1" ht="15" x14ac:dyDescent="0.25">
      <c r="A130"/>
    </row>
    <row r="131" spans="1:1" ht="15" x14ac:dyDescent="0.25">
      <c r="A131"/>
    </row>
    <row r="132" spans="1:1" ht="15" x14ac:dyDescent="0.25">
      <c r="A132"/>
    </row>
    <row r="133" spans="1:1" ht="15" x14ac:dyDescent="0.25">
      <c r="A133"/>
    </row>
    <row r="134" spans="1:1" ht="15" x14ac:dyDescent="0.25">
      <c r="A134"/>
    </row>
    <row r="135" spans="1:1" ht="15" x14ac:dyDescent="0.25">
      <c r="A135"/>
    </row>
    <row r="136" spans="1:1" ht="15" x14ac:dyDescent="0.25">
      <c r="A136"/>
    </row>
    <row r="137" spans="1:1" ht="15" x14ac:dyDescent="0.25">
      <c r="A137"/>
    </row>
    <row r="138" spans="1:1" ht="15" x14ac:dyDescent="0.25">
      <c r="A138"/>
    </row>
    <row r="139" spans="1:1" ht="15" x14ac:dyDescent="0.25">
      <c r="A139"/>
    </row>
    <row r="140" spans="1:1" ht="15" x14ac:dyDescent="0.25">
      <c r="A140"/>
    </row>
    <row r="141" spans="1:1" ht="15" x14ac:dyDescent="0.25">
      <c r="A141"/>
    </row>
    <row r="142" spans="1:1" ht="15" x14ac:dyDescent="0.25">
      <c r="A142"/>
    </row>
    <row r="143" spans="1:1" ht="15" x14ac:dyDescent="0.25">
      <c r="A143"/>
    </row>
    <row r="144" spans="1:1" ht="15" x14ac:dyDescent="0.25">
      <c r="A144"/>
    </row>
    <row r="145" spans="1:1" ht="15" x14ac:dyDescent="0.25">
      <c r="A145"/>
    </row>
    <row r="146" spans="1:1" ht="15" x14ac:dyDescent="0.25">
      <c r="A146"/>
    </row>
    <row r="147" spans="1:1" ht="15" x14ac:dyDescent="0.25">
      <c r="A147"/>
    </row>
    <row r="148" spans="1:1" ht="15" x14ac:dyDescent="0.25">
      <c r="A148"/>
    </row>
    <row r="149" spans="1:1" ht="15" x14ac:dyDescent="0.25">
      <c r="A149"/>
    </row>
    <row r="150" spans="1:1" ht="15" x14ac:dyDescent="0.25">
      <c r="A150"/>
    </row>
    <row r="151" spans="1:1" ht="15" x14ac:dyDescent="0.25">
      <c r="A151"/>
    </row>
    <row r="152" spans="1:1" ht="15" x14ac:dyDescent="0.25">
      <c r="A152"/>
    </row>
    <row r="153" spans="1:1" ht="15" x14ac:dyDescent="0.25">
      <c r="A153"/>
    </row>
    <row r="154" spans="1:1" ht="15" x14ac:dyDescent="0.25">
      <c r="A154"/>
    </row>
    <row r="155" spans="1:1" ht="15" x14ac:dyDescent="0.25">
      <c r="A155"/>
    </row>
    <row r="156" spans="1:1" ht="15" x14ac:dyDescent="0.25">
      <c r="A156"/>
    </row>
    <row r="157" spans="1:1" ht="15" x14ac:dyDescent="0.25">
      <c r="A157"/>
    </row>
    <row r="158" spans="1:1" ht="15" x14ac:dyDescent="0.25">
      <c r="A158"/>
    </row>
    <row r="159" spans="1:1" ht="15" x14ac:dyDescent="0.25">
      <c r="A159"/>
    </row>
    <row r="160" spans="1:1" ht="15" x14ac:dyDescent="0.25">
      <c r="A160"/>
    </row>
    <row r="161" spans="1:1" ht="15" x14ac:dyDescent="0.25">
      <c r="A161"/>
    </row>
    <row r="162" spans="1:1" ht="15" x14ac:dyDescent="0.25">
      <c r="A162"/>
    </row>
    <row r="163" spans="1:1" ht="15" x14ac:dyDescent="0.25">
      <c r="A163"/>
    </row>
    <row r="164" spans="1:1" ht="15" x14ac:dyDescent="0.25">
      <c r="A164"/>
    </row>
    <row r="165" spans="1:1" ht="15" x14ac:dyDescent="0.25">
      <c r="A165"/>
    </row>
    <row r="166" spans="1:1" ht="15" x14ac:dyDescent="0.25">
      <c r="A166"/>
    </row>
    <row r="167" spans="1:1" ht="15" x14ac:dyDescent="0.25">
      <c r="A167"/>
    </row>
    <row r="168" spans="1:1" ht="15" x14ac:dyDescent="0.25">
      <c r="A168"/>
    </row>
    <row r="169" spans="1:1" ht="15" x14ac:dyDescent="0.25">
      <c r="A169"/>
    </row>
    <row r="170" spans="1:1" ht="15" x14ac:dyDescent="0.25">
      <c r="A170"/>
    </row>
    <row r="171" spans="1:1" ht="15" x14ac:dyDescent="0.25">
      <c r="A171"/>
    </row>
    <row r="172" spans="1:1" ht="15" x14ac:dyDescent="0.25">
      <c r="A172"/>
    </row>
    <row r="173" spans="1:1" ht="15" x14ac:dyDescent="0.25">
      <c r="A173"/>
    </row>
    <row r="174" spans="1:1" ht="15" x14ac:dyDescent="0.25">
      <c r="A174"/>
    </row>
    <row r="175" spans="1:1" ht="15" x14ac:dyDescent="0.25">
      <c r="A175"/>
    </row>
    <row r="176" spans="1:1" ht="15" x14ac:dyDescent="0.25">
      <c r="A176"/>
    </row>
    <row r="177" spans="1:1" ht="15" x14ac:dyDescent="0.25">
      <c r="A177"/>
    </row>
    <row r="178" spans="1:1" ht="15" x14ac:dyDescent="0.25">
      <c r="A178"/>
    </row>
    <row r="179" spans="1:1" ht="15" x14ac:dyDescent="0.25">
      <c r="A179"/>
    </row>
    <row r="180" spans="1:1" ht="15" x14ac:dyDescent="0.25">
      <c r="A180"/>
    </row>
    <row r="181" spans="1:1" ht="15" x14ac:dyDescent="0.25">
      <c r="A181"/>
    </row>
    <row r="182" spans="1:1" ht="15" x14ac:dyDescent="0.25">
      <c r="A182"/>
    </row>
    <row r="183" spans="1:1" ht="15" x14ac:dyDescent="0.25">
      <c r="A183"/>
    </row>
    <row r="184" spans="1:1" ht="15" x14ac:dyDescent="0.25">
      <c r="A184"/>
    </row>
    <row r="185" spans="1:1" ht="15" x14ac:dyDescent="0.25">
      <c r="A185"/>
    </row>
    <row r="186" spans="1:1" ht="15" x14ac:dyDescent="0.25">
      <c r="A186"/>
    </row>
    <row r="187" spans="1:1" ht="15" x14ac:dyDescent="0.25">
      <c r="A187"/>
    </row>
    <row r="188" spans="1:1" ht="15" x14ac:dyDescent="0.25">
      <c r="A188"/>
    </row>
    <row r="189" spans="1:1" ht="15" x14ac:dyDescent="0.25">
      <c r="A189"/>
    </row>
    <row r="190" spans="1:1" ht="15" x14ac:dyDescent="0.25">
      <c r="A190"/>
    </row>
    <row r="191" spans="1:1" ht="15" x14ac:dyDescent="0.25">
      <c r="A191"/>
    </row>
    <row r="192" spans="1:1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</sheetData>
  <conditionalFormatting sqref="D2:D21">
    <cfRule type="colorScale" priority="1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 D22">
    <cfRule type="colorScale" priority="14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20476-BB8C-4904-8485-83E8FF377357}">
  <dimension ref="A1:R11"/>
  <sheetViews>
    <sheetView tabSelected="1" workbookViewId="0">
      <selection activeCell="G29" sqref="G29"/>
    </sheetView>
  </sheetViews>
  <sheetFormatPr defaultColWidth="9.140625" defaultRowHeight="11.25" x14ac:dyDescent="0.2"/>
  <cols>
    <col min="1" max="1" width="17.28515625" style="8" bestFit="1" customWidth="1"/>
    <col min="2" max="2" width="10" style="7" customWidth="1"/>
    <col min="3" max="3" width="7.28515625" style="7" customWidth="1"/>
    <col min="4" max="4" width="9.140625" style="7" customWidth="1"/>
    <col min="5" max="5" width="12.28515625" style="7" customWidth="1"/>
    <col min="6" max="6" width="9.140625" style="7"/>
    <col min="7" max="7" width="9.140625" style="7" customWidth="1"/>
    <col min="8" max="8" width="10" style="7" customWidth="1"/>
    <col min="9" max="10" width="9.140625" style="7"/>
    <col min="11" max="11" width="8.140625" style="7" bestFit="1" customWidth="1"/>
    <col min="12" max="12" width="9.85546875" style="7" bestFit="1" customWidth="1"/>
    <col min="13" max="13" width="9.85546875" style="7" customWidth="1"/>
    <col min="14" max="14" width="11" style="7" bestFit="1" customWidth="1"/>
    <col min="15" max="15" width="9.140625" style="21"/>
    <col min="16" max="18" width="9.85546875" style="7" bestFit="1" customWidth="1"/>
    <col min="19" max="16384" width="9.140625" style="7"/>
  </cols>
  <sheetData>
    <row r="1" spans="1:18" x14ac:dyDescent="0.2">
      <c r="A1" s="17" t="s">
        <v>15</v>
      </c>
      <c r="B1" s="13" t="s">
        <v>53</v>
      </c>
      <c r="C1" s="13" t="s">
        <v>46</v>
      </c>
      <c r="D1" s="13" t="s">
        <v>77</v>
      </c>
      <c r="E1" s="14" t="s">
        <v>16</v>
      </c>
      <c r="F1" s="15" t="s">
        <v>67</v>
      </c>
      <c r="G1" s="15" t="s">
        <v>68</v>
      </c>
      <c r="H1" s="15" t="s">
        <v>78</v>
      </c>
      <c r="I1" s="15" t="s">
        <v>69</v>
      </c>
      <c r="J1" s="3" t="s">
        <v>107</v>
      </c>
      <c r="K1" s="3" t="s">
        <v>4136</v>
      </c>
      <c r="L1" s="15" t="s">
        <v>84</v>
      </c>
      <c r="M1" s="15" t="s">
        <v>106</v>
      </c>
      <c r="N1" s="15" t="s">
        <v>4135</v>
      </c>
      <c r="O1" s="20" t="s">
        <v>83</v>
      </c>
      <c r="P1" s="15" t="s">
        <v>82</v>
      </c>
    </row>
    <row r="2" spans="1:18" x14ac:dyDescent="0.2">
      <c r="A2" s="8" t="s">
        <v>94</v>
      </c>
      <c r="B2" s="7">
        <v>130</v>
      </c>
      <c r="C2" s="7">
        <v>120</v>
      </c>
      <c r="D2" s="9">
        <f t="shared" ref="D2:D11" si="0">B2/C2</f>
        <v>1.0833333333333333</v>
      </c>
      <c r="E2" s="16">
        <v>26220</v>
      </c>
      <c r="F2" s="7">
        <v>7</v>
      </c>
      <c r="G2" s="7">
        <v>20</v>
      </c>
      <c r="H2" s="9">
        <f t="shared" ref="H2:H11" si="1">F2/G2</f>
        <v>0.35</v>
      </c>
      <c r="I2" s="11">
        <f t="shared" ref="I2:I11" si="2">(D2*90%)+(H2*10%)</f>
        <v>1.01</v>
      </c>
      <c r="J2" s="7">
        <f>IFERROR(VLOOKUP(A2,Comiss_Abertura!$A$27:$D$31,4,0),"")</f>
        <v>2</v>
      </c>
      <c r="L2" s="21">
        <f>IF(I2&gt;=120%,(E2*4%)*1.2,IF(I2&gt;=110%,(E2*4%)*1.1,IF(I2&gt;=80%,E2*4%,"")))</f>
        <v>1048.8</v>
      </c>
      <c r="M2" s="21">
        <f t="shared" ref="M2:M11" si="3">IF(J2="","",J2*10)</f>
        <v>20</v>
      </c>
      <c r="N2" s="21" t="str">
        <f t="shared" ref="N2:N11" si="4">IF(K2="Sim",10,"")</f>
        <v/>
      </c>
      <c r="O2" s="21">
        <f t="shared" ref="O2:O11" si="5">F2*10</f>
        <v>70</v>
      </c>
      <c r="P2" s="21">
        <f t="shared" ref="P2:P11" si="6">SUM(L2:O2)</f>
        <v>1138.8</v>
      </c>
    </row>
    <row r="3" spans="1:18" x14ac:dyDescent="0.2">
      <c r="A3" s="8" t="s">
        <v>7</v>
      </c>
      <c r="B3" s="7">
        <v>128</v>
      </c>
      <c r="C3" s="7">
        <v>120</v>
      </c>
      <c r="D3" s="9">
        <f t="shared" si="0"/>
        <v>1.0666666666666667</v>
      </c>
      <c r="E3" s="16">
        <v>26280</v>
      </c>
      <c r="F3" s="7">
        <v>5</v>
      </c>
      <c r="G3" s="7">
        <v>20</v>
      </c>
      <c r="H3" s="9">
        <f t="shared" si="1"/>
        <v>0.25</v>
      </c>
      <c r="I3" s="11">
        <f t="shared" si="2"/>
        <v>0.98499999999999999</v>
      </c>
      <c r="J3" s="7" t="str">
        <f>IFERROR(VLOOKUP(A3,Comiss_Abertura!$A$27:$D$31,4,0),"")</f>
        <v/>
      </c>
      <c r="L3" s="21">
        <f t="shared" ref="L3:L11" si="7">IF(I3&gt;=120%,(E3*4%)*1.2,IF(I3&gt;=110%,(E3*4%)*1.1,IF(I3&gt;=80%,E3*4%,"")))</f>
        <v>1051.2</v>
      </c>
      <c r="M3" s="21" t="str">
        <f t="shared" si="3"/>
        <v/>
      </c>
      <c r="N3" s="21" t="str">
        <f t="shared" si="4"/>
        <v/>
      </c>
      <c r="O3" s="21">
        <f t="shared" si="5"/>
        <v>50</v>
      </c>
      <c r="P3" s="21">
        <f t="shared" si="6"/>
        <v>1101.2</v>
      </c>
    </row>
    <row r="4" spans="1:18" x14ac:dyDescent="0.2">
      <c r="A4" s="8" t="s">
        <v>66</v>
      </c>
      <c r="B4" s="7">
        <v>101</v>
      </c>
      <c r="C4" s="7">
        <v>120</v>
      </c>
      <c r="D4" s="9">
        <f t="shared" si="0"/>
        <v>0.84166666666666667</v>
      </c>
      <c r="E4" s="16">
        <v>28710</v>
      </c>
      <c r="F4" s="7">
        <v>5</v>
      </c>
      <c r="G4" s="7">
        <v>20</v>
      </c>
      <c r="H4" s="9">
        <f t="shared" si="1"/>
        <v>0.25</v>
      </c>
      <c r="I4" s="11">
        <f t="shared" si="2"/>
        <v>0.78250000000000008</v>
      </c>
      <c r="J4" s="7">
        <f>IFERROR(VLOOKUP(A4,Comiss_Abertura!$A$27:$D$31,4,0),"")</f>
        <v>3</v>
      </c>
      <c r="K4" s="7" t="s">
        <v>4137</v>
      </c>
      <c r="L4" s="21" t="str">
        <f t="shared" si="7"/>
        <v/>
      </c>
      <c r="M4" s="21">
        <f t="shared" si="3"/>
        <v>30</v>
      </c>
      <c r="N4" s="21">
        <f t="shared" si="4"/>
        <v>10</v>
      </c>
      <c r="O4" s="21">
        <f t="shared" si="5"/>
        <v>50</v>
      </c>
      <c r="P4" s="21">
        <f t="shared" si="6"/>
        <v>90</v>
      </c>
    </row>
    <row r="5" spans="1:18" x14ac:dyDescent="0.2">
      <c r="A5" s="8" t="s">
        <v>592</v>
      </c>
      <c r="B5" s="7">
        <v>86</v>
      </c>
      <c r="C5" s="7">
        <v>120</v>
      </c>
      <c r="D5" s="9">
        <f t="shared" si="0"/>
        <v>0.71666666666666667</v>
      </c>
      <c r="E5" s="16">
        <v>26475</v>
      </c>
      <c r="F5" s="7">
        <v>8</v>
      </c>
      <c r="G5" s="7">
        <v>20</v>
      </c>
      <c r="H5" s="9">
        <f t="shared" si="1"/>
        <v>0.4</v>
      </c>
      <c r="I5" s="11">
        <f t="shared" si="2"/>
        <v>0.68500000000000005</v>
      </c>
      <c r="J5" s="7" t="str">
        <f>IFERROR(VLOOKUP(A5,Comiss_Abertura!$A$27:$D$31,4,0),"")</f>
        <v/>
      </c>
      <c r="K5" s="7" t="s">
        <v>4137</v>
      </c>
      <c r="L5" s="21" t="str">
        <f t="shared" si="7"/>
        <v/>
      </c>
      <c r="M5" s="21" t="str">
        <f t="shared" si="3"/>
        <v/>
      </c>
      <c r="N5" s="21">
        <f t="shared" si="4"/>
        <v>10</v>
      </c>
      <c r="O5" s="21">
        <f t="shared" si="5"/>
        <v>80</v>
      </c>
      <c r="P5" s="21">
        <f t="shared" si="6"/>
        <v>90</v>
      </c>
    </row>
    <row r="6" spans="1:18" x14ac:dyDescent="0.2">
      <c r="A6" s="8" t="s">
        <v>19</v>
      </c>
      <c r="B6" s="7">
        <v>85</v>
      </c>
      <c r="C6" s="7">
        <v>120</v>
      </c>
      <c r="D6" s="9">
        <f t="shared" si="0"/>
        <v>0.70833333333333337</v>
      </c>
      <c r="E6" s="16">
        <v>18300</v>
      </c>
      <c r="F6" s="7">
        <v>8</v>
      </c>
      <c r="G6" s="7">
        <v>20</v>
      </c>
      <c r="H6" s="9">
        <f t="shared" si="1"/>
        <v>0.4</v>
      </c>
      <c r="I6" s="11">
        <f t="shared" si="2"/>
        <v>0.6775000000000001</v>
      </c>
      <c r="J6" s="7">
        <f>IFERROR(VLOOKUP(A6,Comiss_Abertura!$A$27:$D$31,4,0),"")</f>
        <v>1</v>
      </c>
      <c r="K6" s="7" t="s">
        <v>4137</v>
      </c>
      <c r="L6" s="21" t="str">
        <f t="shared" si="7"/>
        <v/>
      </c>
      <c r="M6" s="21">
        <f t="shared" si="3"/>
        <v>10</v>
      </c>
      <c r="N6" s="21">
        <f t="shared" si="4"/>
        <v>10</v>
      </c>
      <c r="O6" s="21">
        <f t="shared" si="5"/>
        <v>80</v>
      </c>
      <c r="P6" s="21">
        <f t="shared" si="6"/>
        <v>100</v>
      </c>
    </row>
    <row r="7" spans="1:18" x14ac:dyDescent="0.2">
      <c r="A7" s="8" t="s">
        <v>4125</v>
      </c>
      <c r="B7" s="7">
        <v>86</v>
      </c>
      <c r="C7" s="7">
        <v>120</v>
      </c>
      <c r="D7" s="9">
        <f t="shared" si="0"/>
        <v>0.71666666666666667</v>
      </c>
      <c r="E7" s="16">
        <v>30240</v>
      </c>
      <c r="F7" s="7">
        <v>1</v>
      </c>
      <c r="G7" s="7">
        <v>20</v>
      </c>
      <c r="H7" s="9">
        <f t="shared" si="1"/>
        <v>0.05</v>
      </c>
      <c r="I7" s="11">
        <f t="shared" si="2"/>
        <v>0.65</v>
      </c>
      <c r="J7" s="7" t="str">
        <f>IFERROR(VLOOKUP(A7,Comiss_Abertura!$A$27:$D$31,4,0),"")</f>
        <v/>
      </c>
      <c r="L7" s="21" t="str">
        <f t="shared" si="7"/>
        <v/>
      </c>
      <c r="M7" s="21" t="str">
        <f t="shared" si="3"/>
        <v/>
      </c>
      <c r="N7" s="21" t="str">
        <f t="shared" si="4"/>
        <v/>
      </c>
      <c r="O7" s="21">
        <f t="shared" si="5"/>
        <v>10</v>
      </c>
      <c r="P7" s="21">
        <f t="shared" si="6"/>
        <v>10</v>
      </c>
      <c r="Q7" s="16"/>
      <c r="R7" s="16"/>
    </row>
    <row r="8" spans="1:18" x14ac:dyDescent="0.2">
      <c r="A8" s="8" t="s">
        <v>54</v>
      </c>
      <c r="B8" s="7">
        <v>84</v>
      </c>
      <c r="C8" s="7">
        <v>120</v>
      </c>
      <c r="D8" s="9">
        <f t="shared" si="0"/>
        <v>0.7</v>
      </c>
      <c r="E8" s="16">
        <v>17430</v>
      </c>
      <c r="F8" s="7">
        <v>3</v>
      </c>
      <c r="G8" s="7">
        <v>20</v>
      </c>
      <c r="H8" s="9">
        <f t="shared" si="1"/>
        <v>0.15</v>
      </c>
      <c r="I8" s="11">
        <f t="shared" si="2"/>
        <v>0.64500000000000002</v>
      </c>
      <c r="J8" s="7" t="str">
        <f>IFERROR(VLOOKUP(A8,Comiss_Abertura!$A$27:$D$31,4,0),"")</f>
        <v/>
      </c>
      <c r="K8" s="7" t="s">
        <v>4137</v>
      </c>
      <c r="L8" s="21" t="str">
        <f t="shared" si="7"/>
        <v/>
      </c>
      <c r="M8" s="21" t="str">
        <f t="shared" si="3"/>
        <v/>
      </c>
      <c r="N8" s="21">
        <f t="shared" si="4"/>
        <v>10</v>
      </c>
      <c r="O8" s="21">
        <f t="shared" si="5"/>
        <v>30</v>
      </c>
      <c r="P8" s="21">
        <f t="shared" si="6"/>
        <v>40</v>
      </c>
    </row>
    <row r="9" spans="1:18" x14ac:dyDescent="0.2">
      <c r="A9" s="8" t="s">
        <v>91</v>
      </c>
      <c r="B9" s="7">
        <v>74</v>
      </c>
      <c r="C9" s="7">
        <v>120</v>
      </c>
      <c r="D9" s="9">
        <f t="shared" si="0"/>
        <v>0.6166666666666667</v>
      </c>
      <c r="E9" s="16">
        <v>17220</v>
      </c>
      <c r="F9" s="7">
        <v>6</v>
      </c>
      <c r="G9" s="7">
        <v>20</v>
      </c>
      <c r="H9" s="9">
        <f t="shared" si="1"/>
        <v>0.3</v>
      </c>
      <c r="I9" s="11">
        <f t="shared" si="2"/>
        <v>0.58500000000000008</v>
      </c>
      <c r="J9" s="7" t="str">
        <f>IFERROR(VLOOKUP(A9,Comiss_Abertura!$A$27:$D$31,4,0),"")</f>
        <v/>
      </c>
      <c r="K9" s="7" t="s">
        <v>4137</v>
      </c>
      <c r="L9" s="21" t="str">
        <f t="shared" si="7"/>
        <v/>
      </c>
      <c r="M9" s="21" t="str">
        <f t="shared" si="3"/>
        <v/>
      </c>
      <c r="N9" s="21">
        <f t="shared" si="4"/>
        <v>10</v>
      </c>
      <c r="O9" s="21">
        <f t="shared" si="5"/>
        <v>60</v>
      </c>
      <c r="P9" s="21">
        <f t="shared" si="6"/>
        <v>70</v>
      </c>
    </row>
    <row r="10" spans="1:18" x14ac:dyDescent="0.2">
      <c r="A10" s="8" t="s">
        <v>1366</v>
      </c>
      <c r="B10" s="7">
        <v>76</v>
      </c>
      <c r="C10" s="7">
        <v>120</v>
      </c>
      <c r="D10" s="9">
        <f t="shared" si="0"/>
        <v>0.6333333333333333</v>
      </c>
      <c r="E10" s="16">
        <v>20220</v>
      </c>
      <c r="F10" s="7">
        <v>1</v>
      </c>
      <c r="G10" s="7">
        <v>20</v>
      </c>
      <c r="H10" s="9">
        <f t="shared" si="1"/>
        <v>0.05</v>
      </c>
      <c r="I10" s="11">
        <f t="shared" si="2"/>
        <v>0.57499999999999996</v>
      </c>
      <c r="J10" s="7">
        <f>IFERROR(VLOOKUP(A10,Comiss_Abertura!$A$27:$D$31,4,0),"")</f>
        <v>1</v>
      </c>
      <c r="K10" s="7" t="s">
        <v>4137</v>
      </c>
      <c r="L10" s="21" t="str">
        <f t="shared" si="7"/>
        <v/>
      </c>
      <c r="M10" s="21">
        <f t="shared" si="3"/>
        <v>10</v>
      </c>
      <c r="N10" s="21">
        <f t="shared" si="4"/>
        <v>10</v>
      </c>
      <c r="O10" s="21">
        <f t="shared" si="5"/>
        <v>10</v>
      </c>
      <c r="P10" s="21">
        <f t="shared" si="6"/>
        <v>30</v>
      </c>
    </row>
    <row r="11" spans="1:18" x14ac:dyDescent="0.2">
      <c r="A11" s="8" t="s">
        <v>4126</v>
      </c>
      <c r="B11" s="7">
        <v>19</v>
      </c>
      <c r="C11" s="7">
        <v>60</v>
      </c>
      <c r="D11" s="9">
        <f t="shared" si="0"/>
        <v>0.31666666666666665</v>
      </c>
      <c r="E11" s="16">
        <v>6510</v>
      </c>
      <c r="F11" s="7">
        <v>6</v>
      </c>
      <c r="G11" s="7">
        <v>20</v>
      </c>
      <c r="H11" s="9">
        <f t="shared" si="1"/>
        <v>0.3</v>
      </c>
      <c r="I11" s="11">
        <f t="shared" si="2"/>
        <v>0.31499999999999995</v>
      </c>
      <c r="J11" s="7" t="str">
        <f>IFERROR(VLOOKUP(A11,Comiss_Abertura!$A$27:$D$31,4,0),"")</f>
        <v/>
      </c>
      <c r="L11" s="21" t="str">
        <f t="shared" si="7"/>
        <v/>
      </c>
      <c r="M11" s="21" t="str">
        <f t="shared" si="3"/>
        <v/>
      </c>
      <c r="N11" s="21" t="str">
        <f t="shared" si="4"/>
        <v/>
      </c>
      <c r="O11" s="21">
        <f t="shared" si="5"/>
        <v>60</v>
      </c>
      <c r="P11" s="21">
        <f t="shared" si="6"/>
        <v>60</v>
      </c>
    </row>
  </sheetData>
  <conditionalFormatting sqref="D2:D11">
    <cfRule type="colorScale" priority="1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1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9456F-4F11-4E81-952A-878F223F65CE}">
  <dimension ref="A1:O3"/>
  <sheetViews>
    <sheetView workbookViewId="0">
      <selection activeCell="K1" sqref="K1"/>
    </sheetView>
  </sheetViews>
  <sheetFormatPr defaultColWidth="8.85546875" defaultRowHeight="12" x14ac:dyDescent="0.2"/>
  <cols>
    <col min="1" max="1" width="21.7109375" style="10" bestFit="1" customWidth="1"/>
    <col min="2" max="2" width="7.85546875" style="10" customWidth="1"/>
    <col min="3" max="3" width="12.28515625" style="10" customWidth="1"/>
    <col min="4" max="4" width="11.28515625" style="10" customWidth="1"/>
    <col min="5" max="5" width="9.42578125" style="10" customWidth="1"/>
    <col min="6" max="6" width="14" style="10" customWidth="1"/>
    <col min="7" max="7" width="13" style="10" customWidth="1"/>
    <col min="8" max="13" width="8.85546875" style="10"/>
    <col min="14" max="15" width="10.42578125" style="10" bestFit="1" customWidth="1"/>
    <col min="16" max="16384" width="8.85546875" style="10"/>
  </cols>
  <sheetData>
    <row r="1" spans="1:15" x14ac:dyDescent="0.2">
      <c r="A1" s="17" t="s">
        <v>60</v>
      </c>
      <c r="B1" s="14" t="s">
        <v>72</v>
      </c>
      <c r="C1" s="15" t="s">
        <v>70</v>
      </c>
      <c r="D1" s="15" t="s">
        <v>75</v>
      </c>
      <c r="E1" s="15" t="s">
        <v>73</v>
      </c>
      <c r="F1" s="15" t="s">
        <v>74</v>
      </c>
      <c r="G1" s="3" t="s">
        <v>76</v>
      </c>
      <c r="H1" s="15" t="s">
        <v>69</v>
      </c>
      <c r="I1" s="15" t="s">
        <v>107</v>
      </c>
      <c r="J1" s="15" t="s">
        <v>71</v>
      </c>
      <c r="K1" s="20" t="s">
        <v>85</v>
      </c>
      <c r="L1" s="15" t="s">
        <v>106</v>
      </c>
      <c r="M1" s="15" t="s">
        <v>601</v>
      </c>
      <c r="N1" s="20" t="s">
        <v>86</v>
      </c>
      <c r="O1" s="15" t="s">
        <v>87</v>
      </c>
    </row>
    <row r="2" spans="1:15" x14ac:dyDescent="0.2">
      <c r="A2" s="8" t="s">
        <v>57</v>
      </c>
      <c r="B2" s="7">
        <v>104</v>
      </c>
      <c r="C2" s="7">
        <v>140</v>
      </c>
      <c r="D2" s="18">
        <f>B2/C2</f>
        <v>0.74285714285714288</v>
      </c>
      <c r="E2" s="12">
        <v>65</v>
      </c>
      <c r="F2" s="12">
        <v>80</v>
      </c>
      <c r="G2" s="19">
        <f>E2/F2</f>
        <v>0.8125</v>
      </c>
      <c r="H2" s="19">
        <f>(D2*30%)+(G2*70%)</f>
        <v>0.79160714285714284</v>
      </c>
      <c r="I2" s="26">
        <f>IFERROR(VLOOKUP(A2,Comiss_Abertura!$A$27:$D$31,4,0),"")</f>
        <v>2</v>
      </c>
      <c r="J2" s="26">
        <v>1</v>
      </c>
      <c r="K2" s="23" t="str">
        <f>IF(H2&gt;=80%,500*H2,"")</f>
        <v/>
      </c>
      <c r="L2" s="23">
        <f>IF(I2="","",I2*10)</f>
        <v>20</v>
      </c>
      <c r="M2" s="23">
        <f>J2*10</f>
        <v>10</v>
      </c>
      <c r="N2" s="23"/>
      <c r="O2" s="23">
        <f>SUM(K2:N2)</f>
        <v>30</v>
      </c>
    </row>
    <row r="3" spans="1:15" x14ac:dyDescent="0.2">
      <c r="K3" s="23" t="str">
        <f>IF(H3&gt;=80%,500*H3,"")</f>
        <v/>
      </c>
    </row>
  </sheetData>
  <conditionalFormatting sqref="D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">
    <cfRule type="colorScale" priority="14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Abertura</vt:lpstr>
      <vt:lpstr>Qualificaçao</vt:lpstr>
      <vt:lpstr>Comiss_Abertura</vt:lpstr>
      <vt:lpstr>Comiss_QLF</vt:lpstr>
      <vt:lpstr>C6 PAY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Andrey de Souza Batista Bizão</cp:lastModifiedBy>
  <dcterms:created xsi:type="dcterms:W3CDTF">2024-05-02T18:34:58Z</dcterms:created>
  <dcterms:modified xsi:type="dcterms:W3CDTF">2025-11-10T17:33:53Z</dcterms:modified>
</cp:coreProperties>
</file>